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My Drive\PhD - Custado\Writing\2025_ZAM_Geochem\Files to upload to github\"/>
    </mc:Choice>
  </mc:AlternateContent>
  <xr:revisionPtr revIDLastSave="0" documentId="13_ncr:1_{B3D3BA90-A8EF-4B5F-951A-081D89C7AE03}" xr6:coauthVersionLast="47" xr6:coauthVersionMax="47" xr10:uidLastSave="{00000000-0000-0000-0000-000000000000}"/>
  <bookViews>
    <workbookView xWindow="-110" yWindow="-110" windowWidth="38620" windowHeight="21100" tabRatio="415" xr2:uid="{00000000-000D-0000-FFFF-FFFF00000000}"/>
  </bookViews>
  <sheets>
    <sheet name="MEANDIR_Endmembers" sheetId="1" r:id="rId1"/>
    <sheet name="MEANDIR_conc2equi" sheetId="3" r:id="rId2"/>
    <sheet name="MEANDIR_DeltaNotationToR" sheetId="2"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0" i="2" l="1"/>
  <c r="C2" i="2" l="1"/>
  <c r="C6" i="2"/>
  <c r="C7" i="2"/>
  <c r="C8" i="2"/>
  <c r="C9" i="2"/>
  <c r="C11" i="2"/>
</calcChain>
</file>

<file path=xl/sharedStrings.xml><?xml version="1.0" encoding="utf-8"?>
<sst xmlns="http://schemas.openxmlformats.org/spreadsheetml/2006/main" count="220" uniqueCount="112">
  <si>
    <t>Carbonate</t>
  </si>
  <si>
    <t>carb</t>
  </si>
  <si>
    <t>bslt</t>
  </si>
  <si>
    <t>prec</t>
  </si>
  <si>
    <t>Precipitation</t>
  </si>
  <si>
    <t>Clay</t>
  </si>
  <si>
    <t>clay</t>
  </si>
  <si>
    <t>Distribution</t>
  </si>
  <si>
    <t>Uniform</t>
  </si>
  <si>
    <t>Ca</t>
  </si>
  <si>
    <t>Mg</t>
  </si>
  <si>
    <t>Na</t>
  </si>
  <si>
    <t>Cl</t>
  </si>
  <si>
    <t>SO4</t>
  </si>
  <si>
    <t>HCO3</t>
  </si>
  <si>
    <t>d34S</t>
  </si>
  <si>
    <t>Sr</t>
  </si>
  <si>
    <t>Re</t>
  </si>
  <si>
    <t>ALK</t>
  </si>
  <si>
    <t>DIC</t>
  </si>
  <si>
    <t>K</t>
  </si>
  <si>
    <t>Nature</t>
  </si>
  <si>
    <t>Min</t>
  </si>
  <si>
    <t>Max</t>
  </si>
  <si>
    <t>VariableNameForMatlab</t>
  </si>
  <si>
    <t>SumObs</t>
  </si>
  <si>
    <t>Sr8786</t>
  </si>
  <si>
    <t>d26Mg</t>
  </si>
  <si>
    <t>d44Ca</t>
  </si>
  <si>
    <t>Li</t>
  </si>
  <si>
    <t>d7Li</t>
  </si>
  <si>
    <t>Si</t>
  </si>
  <si>
    <t>d30Si</t>
  </si>
  <si>
    <t>Fmod</t>
  </si>
  <si>
    <t>NumeratorVariable</t>
  </si>
  <si>
    <t>Normalization</t>
  </si>
  <si>
    <t>End-member group (add a custom name)</t>
  </si>
  <si>
    <t>IsotopeSystem</t>
  </si>
  <si>
    <t>d13C</t>
  </si>
  <si>
    <t>d18O</t>
  </si>
  <si>
    <t>d42Ca</t>
  </si>
  <si>
    <t>d98Mo</t>
  </si>
  <si>
    <t>Os</t>
  </si>
  <si>
    <t>Values</t>
  </si>
  <si>
    <t>Standard</t>
  </si>
  <si>
    <t>Os8788</t>
  </si>
  <si>
    <t>VCDT</t>
  </si>
  <si>
    <t>Citation</t>
  </si>
  <si>
    <t>VPDB</t>
  </si>
  <si>
    <t>VSMOW</t>
  </si>
  <si>
    <t>LSVEC</t>
  </si>
  <si>
    <t>DSM-3</t>
  </si>
  <si>
    <t>Table 4 of Bizzarro et al. (2011), J. Anal. At. Spectrom, "High-precision Mg-isotope measurements of terrestrial and extraterrestrial material by HR-MC-ICPMS—implications for the relative and absolute Mg-isotope composition of the bulk silicate Earth"</t>
  </si>
  <si>
    <t>Abstract of Ding et al. (2001), GCA, "Calibrated sulfur isotope abundance ratios of three IAEA sulfur isotope reference materials and V-CDT with a reassessment of the atomic weight of sulfur"</t>
  </si>
  <si>
    <t>Chang &amp; Li (1990), Chin. Sci. Bull, "A calibrated measurement of the atomic weight of carbon" reported in Table 1 of Daëron et al. (2016), Chemical Geology, "Absolute isotopic abundance ratios and the accuracy of D47 measurements"</t>
  </si>
  <si>
    <t>Baertschi (1976), Earth Planet. Sci. Lett., "Absolute 18O content of standard mean ocean water" reported in Table 1 of Daëron et al. (2016), Chemical Geology, "Absolute isotopic abundance ratios and the accuracy of D47 measurements"</t>
  </si>
  <si>
    <t>NBS-28</t>
  </si>
  <si>
    <t>Table 3 of Valkiers et al. (2005), International Journal of Mass Spectrometry, "Silicon isotope amount ratios and molar masses for two silicon isotope reference materials: IRMM-018a and NBS28"</t>
  </si>
  <si>
    <t>NIST SRM 915a</t>
  </si>
  <si>
    <t>Using the 40/44 ratio of 46.480 for NIST SRM 915 in Table 2 of Moore &amp; Machlan (1972) with the 0.17‰ d44Ca value of NIST SRM 915 relative to NIST SRM915a reported in Brand et al. (2014). Moore &amp; Machlan (1972), Analytical Chemistry, "High Accuracy Determination of Calcium in Blood Serum by Isotope Dilution Mass Spectrometry" and Brand et al. (2014), IUPAC Technical Report, "Assessment of international reference materials for isotope-ratio analysis"</t>
  </si>
  <si>
    <t>Calculated from the Qi et al. (1997) value of IRMM-016 having a n(6Li)/n(7Li) ratio of 0.08212 (given in abstract), and the IUPAC website listing IRMM-016 being 0.14‰ relative to LSVEC. Qi et al. (1997), International Journal of Mass Spectrometry and Ion Processes, "Calibrated measurements of the isotopic composition and atomic weight of the natural Li isotopic reference material IRMM-016"</t>
  </si>
  <si>
    <t>IsotopeRatio</t>
  </si>
  <si>
    <t>7Li/6Li</t>
  </si>
  <si>
    <t>13C/12C</t>
  </si>
  <si>
    <t>18O/16O</t>
  </si>
  <si>
    <t>26Mg/24Mg</t>
  </si>
  <si>
    <t>30Si/28Si</t>
  </si>
  <si>
    <t>34S/32S</t>
  </si>
  <si>
    <t>44Ca/40Ca</t>
  </si>
  <si>
    <t>44Ca/42Ca</t>
  </si>
  <si>
    <t>Using the 42/44 ratio of 0.3104 for NIST SRM 915 in Table 2 of Moore &amp; Machlan (1972) with the 0.085‰ d44Ca value of NIST SRM 915 relative to NIST SRM915a reported in Brand et al. (2014). Moore &amp; Machlan (1972), Analytical Chemistry, "High Accuracy Determination of Calcium in Blood Serum by Isotope Dilution Mass Spectrometry" and Brand et al. (2014), IUPAC Technical Report, "Assessment of international reference materials for isotope-ratio analysis"</t>
  </si>
  <si>
    <t>98Mo/95Mo</t>
  </si>
  <si>
    <t>NIST SRM 3134</t>
  </si>
  <si>
    <t>Ratio of values given in the abstract of Mayer &amp; Wiser (2014), J. Anal. At. Spectrom, "The absolute isotopic composition and atomic weight of molybdenum in SRM 3134 using an isotopic double-spike"</t>
  </si>
  <si>
    <t>Variable</t>
  </si>
  <si>
    <t>ConversionFactor</t>
  </si>
  <si>
    <t>NO3</t>
  </si>
  <si>
    <t>Charge</t>
  </si>
  <si>
    <t>negative</t>
  </si>
  <si>
    <t>neutral</t>
  </si>
  <si>
    <t>positive</t>
  </si>
  <si>
    <t>PO4</t>
  </si>
  <si>
    <t>Ge</t>
  </si>
  <si>
    <t>F</t>
  </si>
  <si>
    <t>B</t>
  </si>
  <si>
    <t>Mo</t>
  </si>
  <si>
    <t>Fe</t>
  </si>
  <si>
    <t>d56Fe</t>
  </si>
  <si>
    <t>56Fe/54Fe</t>
  </si>
  <si>
    <t>IRMM-014</t>
  </si>
  <si>
    <t xml:space="preserve">From Table 7 of In Taylor, Philip D. P.; Maeck, R.; De Bièvre, Paul (1992). "Determination of the absolute isotopic composition and Atomic Weight of a reference sample of natural iron". International Journal of Mass Spectrometry and Ion Processes. 121 (1–2): 111–125. </t>
  </si>
  <si>
    <t>UNI-Min Ca/SumObs</t>
  </si>
  <si>
    <t>UNI-Max Ca/SumObs</t>
  </si>
  <si>
    <t>UNI-Min Mg/SumObs</t>
  </si>
  <si>
    <t>UNI-Max Mg/SumObs</t>
  </si>
  <si>
    <t>UNI-Min Na/SumObs</t>
  </si>
  <si>
    <t>UNI-Max Na/SumObs</t>
  </si>
  <si>
    <t>UNI-Min Cl/SumObs</t>
  </si>
  <si>
    <t>UNI-Max Cl/SumObs</t>
  </si>
  <si>
    <t>Ultramafic</t>
  </si>
  <si>
    <t>umfc</t>
  </si>
  <si>
    <t>UNI-Min Sr/SumObs</t>
  </si>
  <si>
    <t>UNI-Max Sr/SumObs</t>
  </si>
  <si>
    <t>UNI-Min Sr8786/SumObs</t>
  </si>
  <si>
    <t>UNI-Max Sr8786/SumObs</t>
  </si>
  <si>
    <t>fractionation#0</t>
  </si>
  <si>
    <t>Low Na silicate</t>
  </si>
  <si>
    <t>High Na silicate</t>
  </si>
  <si>
    <t>UNI-Min Si/SumObs</t>
  </si>
  <si>
    <t>UNI-Max Si/SumObs</t>
  </si>
  <si>
    <t>CaMgNaClSiSr_initial</t>
  </si>
  <si>
    <t>flsc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</si>
</sst>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2">
    <xf numFmtId="0" fontId="0" fillId="0" borderId="0" xfId="0"/>
    <xf numFmtId="0" fontId="0" fillId="0" borderId="0" xfId="0" applyAlignment="1">
      <alignment horizontal="left"/>
    </xf>
    <xf numFmtId="0" fontId="4" fillId="3" borderId="6" xfId="0" applyFont="1" applyFill="1" applyBorder="1" applyAlignment="1">
      <alignment horizontal="left"/>
    </xf>
    <xf numFmtId="0" fontId="4" fillId="3" borderId="7" xfId="0" applyFont="1" applyFill="1" applyBorder="1" applyAlignment="1">
      <alignment horizontal="left"/>
    </xf>
    <xf numFmtId="0" fontId="4" fillId="3" borderId="8" xfId="0" applyFont="1" applyFill="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4" fillId="3" borderId="6" xfId="0" applyFont="1" applyFill="1" applyBorder="1"/>
    <xf numFmtId="0" fontId="4" fillId="3" borderId="7" xfId="0" applyFont="1" applyFill="1" applyBorder="1"/>
    <xf numFmtId="0" fontId="0" fillId="3" borderId="7" xfId="0" applyFill="1" applyBorder="1"/>
    <xf numFmtId="0" fontId="0" fillId="3" borderId="8" xfId="0" applyFill="1" applyBorder="1"/>
    <xf numFmtId="0" fontId="3" fillId="2" borderId="0" xfId="0" applyFont="1" applyFill="1" applyBorder="1" applyAlignment="1">
      <alignment horizontal="left"/>
    </xf>
    <xf numFmtId="0" fontId="0" fillId="2" borderId="0" xfId="0" applyFont="1" applyFill="1" applyBorder="1" applyAlignment="1">
      <alignment horizontal="left"/>
    </xf>
    <xf numFmtId="0" fontId="0" fillId="0" borderId="0" xfId="0" applyFont="1" applyBorder="1" applyAlignment="1">
      <alignment horizontal="left"/>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customXml" Target="../ink/ink6.xml"/><Relationship Id="rId3" Type="http://schemas.openxmlformats.org/officeDocument/2006/relationships/customXml" Target="../ink/ink2.xml"/><Relationship Id="rId7" Type="http://schemas.openxmlformats.org/officeDocument/2006/relationships/customXml" Target="../ink/ink5.xml"/><Relationship Id="rId2" Type="http://schemas.openxmlformats.org/officeDocument/2006/relationships/image" Target="NULL"/><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image" Target="NULL"/><Relationship Id="rId4" Type="http://schemas.openxmlformats.org/officeDocument/2006/relationships/customXml" Target="../ink/ink3.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11</xdr:col>
      <xdr:colOff>360</xdr:colOff>
      <xdr:row>2</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000-000002000000}"/>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twoCellAnchor>
  <xdr:twoCellAnchor editAs="oneCell">
    <xdr:from>
      <xdr:col>11</xdr:col>
      <xdr:colOff>0</xdr:colOff>
      <xdr:row>2</xdr:row>
      <xdr:rowOff>0</xdr:rowOff>
    </xdr:from>
    <xdr:to>
      <xdr:col>11</xdr:col>
      <xdr:colOff>360</xdr:colOff>
      <xdr:row>2</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000-000003000000}"/>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twoCellAnchor>
  <xdr:twoCellAnchor editAs="oneCell">
    <xdr:from>
      <xdr:col>11</xdr:col>
      <xdr:colOff>0</xdr:colOff>
      <xdr:row>2</xdr:row>
      <xdr:rowOff>0</xdr:rowOff>
    </xdr:from>
    <xdr:to>
      <xdr:col>11</xdr:col>
      <xdr:colOff>360</xdr:colOff>
      <xdr:row>2</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00000000-0008-0000-0000-000004000000}"/>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twoCellAnchor>
  <xdr:twoCellAnchor editAs="oneCell">
    <xdr:from>
      <xdr:col>11</xdr:col>
      <xdr:colOff>0</xdr:colOff>
      <xdr:row>2</xdr:row>
      <xdr:rowOff>0</xdr:rowOff>
    </xdr:from>
    <xdr:to>
      <xdr:col>11</xdr:col>
      <xdr:colOff>360</xdr:colOff>
      <xdr:row>2</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Ink 4">
              <a:extLst>
                <a:ext uri="{FF2B5EF4-FFF2-40B4-BE49-F238E27FC236}">
                  <a16:creationId xmlns:a16="http://schemas.microsoft.com/office/drawing/2014/main" id="{00000000-0008-0000-0000-000005000000}"/>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twoCellAnchor>
  <xdr:oneCellAnchor>
    <xdr:from>
      <xdr:col>11</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2E5E9E61-7AB6-7849-AC62-95603997C036}"/>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11</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B94710F5-CEB8-954E-B26C-D044DF59D5E4}"/>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09:19.873"/>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42:43.128"/>
    </inkml:context>
    <inkml:brush xml:id="br0">
      <inkml:brushProperty name="width" value="0.05" units="cm"/>
      <inkml:brushProperty name="height" value="0.05" units="cm"/>
    </inkml:brush>
  </inkml:definitions>
  <inkml:trace contextRef="#ctx0" brushRef="#br0">0 1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09:19.873"/>
    </inkml:context>
    <inkml:brush xml:id="br0">
      <inkml:brushProperty name="width" value="0.05" units="cm"/>
      <inkml:brushProperty name="height" value="0.05" units="cm"/>
    </inkml:brush>
  </inkml:definitions>
  <inkml:trace contextRef="#ctx0" brushRef="#br0">1 0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42:43.128"/>
    </inkml:context>
    <inkml:brush xml:id="br0">
      <inkml:brushProperty name="width" value="0.05" units="cm"/>
      <inkml:brushProperty name="height" value="0.05" units="cm"/>
    </inkml:brush>
  </inkml:definitions>
  <inkml:trace contextRef="#ctx0" brushRef="#br0">0 1 24575,'0'0'0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14T20:56:54.936"/>
    </inkml:context>
    <inkml:brush xml:id="br0">
      <inkml:brushProperty name="width" value="0.05" units="cm"/>
      <inkml:brushProperty name="height" value="0.05" units="cm"/>
    </inkml:brush>
  </inkml:definitions>
  <inkml:trace contextRef="#ctx0" brushRef="#br0">1 0 24575,'0'0'0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14T20:56:54.937"/>
    </inkml:context>
    <inkml:brush xml:id="br0">
      <inkml:brushProperty name="width" value="0.05" units="cm"/>
      <inkml:brushProperty name="height" value="0.05" units="cm"/>
    </inkml:brush>
  </inkml:definitions>
  <inkml:trace contextRef="#ctx0" brushRef="#br0">0 1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zoomScale="60" zoomScaleNormal="60" workbookViewId="0">
      <pane xSplit="6" ySplit="2" topLeftCell="G3" activePane="bottomRight" state="frozen"/>
      <selection pane="topRight" activeCell="C1" sqref="C1"/>
      <selection pane="bottomLeft" activeCell="A3" sqref="A3"/>
      <selection pane="bottomRight" activeCell="L34" sqref="L34"/>
    </sheetView>
  </sheetViews>
  <sheetFormatPr defaultColWidth="10.58203125" defaultRowHeight="15.5" x14ac:dyDescent="0.35"/>
  <cols>
    <col min="1" max="1" width="38.5" style="21" customWidth="1"/>
    <col min="2" max="2" width="12" style="21" customWidth="1"/>
    <col min="3" max="4" width="17.08203125" style="21" customWidth="1"/>
    <col min="5" max="5" width="11.58203125" style="21" customWidth="1"/>
    <col min="6" max="6" width="27.08203125" style="21" customWidth="1"/>
    <col min="7" max="7" width="10.58203125" style="21"/>
    <col min="8" max="8" width="20.58203125" style="21" customWidth="1"/>
    <col min="9" max="9" width="13.25" style="21" bestFit="1" customWidth="1"/>
    <col min="10" max="10" width="13.58203125" style="21" customWidth="1"/>
    <col min="11" max="11" width="16" style="21" bestFit="1" customWidth="1"/>
    <col min="12" max="16384" width="10.58203125" style="21"/>
  </cols>
  <sheetData>
    <row r="1" spans="1:12" x14ac:dyDescent="0.35">
      <c r="A1" s="19" t="s">
        <v>36</v>
      </c>
      <c r="B1" s="19" t="s">
        <v>7</v>
      </c>
      <c r="C1" s="19" t="s">
        <v>34</v>
      </c>
      <c r="D1" s="19" t="s">
        <v>35</v>
      </c>
      <c r="E1" s="19" t="s">
        <v>21</v>
      </c>
      <c r="F1" s="19" t="s">
        <v>24</v>
      </c>
      <c r="G1" s="19" t="s">
        <v>0</v>
      </c>
      <c r="H1" s="19" t="s">
        <v>107</v>
      </c>
      <c r="I1" s="19" t="s">
        <v>106</v>
      </c>
      <c r="J1" s="19" t="s">
        <v>4</v>
      </c>
      <c r="K1" s="19" t="s">
        <v>5</v>
      </c>
      <c r="L1" s="20" t="s">
        <v>99</v>
      </c>
    </row>
    <row r="2" spans="1:12" x14ac:dyDescent="0.35">
      <c r="A2" s="19"/>
      <c r="B2" s="19"/>
      <c r="C2" s="19"/>
      <c r="D2" s="19"/>
      <c r="E2" s="19"/>
      <c r="F2" s="19"/>
      <c r="G2" s="19" t="s">
        <v>1</v>
      </c>
      <c r="H2" s="19" t="s">
        <v>111</v>
      </c>
      <c r="I2" s="19" t="s">
        <v>2</v>
      </c>
      <c r="J2" s="19" t="s">
        <v>3</v>
      </c>
      <c r="K2" s="19" t="s">
        <v>6</v>
      </c>
      <c r="L2" s="20" t="s">
        <v>100</v>
      </c>
    </row>
    <row r="3" spans="1:12" x14ac:dyDescent="0.35">
      <c r="A3" s="21" t="s">
        <v>110</v>
      </c>
      <c r="B3" s="21" t="s">
        <v>8</v>
      </c>
      <c r="C3" s="21" t="s">
        <v>9</v>
      </c>
      <c r="D3" s="21" t="s">
        <v>25</v>
      </c>
      <c r="E3" s="21" t="s">
        <v>22</v>
      </c>
      <c r="F3" s="21" t="s">
        <v>91</v>
      </c>
      <c r="G3" s="21">
        <v>0.75119853534845404</v>
      </c>
      <c r="H3" s="21">
        <v>2.3308351168001278E-2</v>
      </c>
      <c r="I3" s="21">
        <v>0.33305543635517676</v>
      </c>
      <c r="J3" s="21">
        <v>0.26079425147830543</v>
      </c>
      <c r="K3" s="21">
        <v>0.34595258289413616</v>
      </c>
      <c r="L3" s="21">
        <v>2.8054316228770396E-3</v>
      </c>
    </row>
    <row r="4" spans="1:12" x14ac:dyDescent="0.35">
      <c r="A4" s="21" t="s">
        <v>110</v>
      </c>
      <c r="B4" s="21" t="s">
        <v>8</v>
      </c>
      <c r="C4" s="21" t="s">
        <v>9</v>
      </c>
      <c r="D4" s="21" t="s">
        <v>25</v>
      </c>
      <c r="E4" s="21" t="s">
        <v>23</v>
      </c>
      <c r="F4" s="21" t="s">
        <v>92</v>
      </c>
      <c r="G4" s="21">
        <v>1</v>
      </c>
      <c r="H4" s="21">
        <v>0.60165030693887356</v>
      </c>
      <c r="I4" s="21">
        <v>0.58393777410305014</v>
      </c>
      <c r="J4" s="21">
        <v>0.62274287712819187</v>
      </c>
      <c r="K4" s="21">
        <v>1</v>
      </c>
      <c r="L4" s="21">
        <v>0.2588866901547599</v>
      </c>
    </row>
    <row r="5" spans="1:12" x14ac:dyDescent="0.35">
      <c r="A5" s="21" t="s">
        <v>110</v>
      </c>
      <c r="B5" s="21" t="s">
        <v>8</v>
      </c>
      <c r="C5" s="21" t="s">
        <v>10</v>
      </c>
      <c r="D5" s="21" t="s">
        <v>25</v>
      </c>
      <c r="E5" s="21" t="s">
        <v>22</v>
      </c>
      <c r="F5" s="21" t="s">
        <v>93</v>
      </c>
      <c r="G5" s="21">
        <v>4.8801464651545994E-2</v>
      </c>
      <c r="H5" s="21">
        <v>4.1706457929383163E-2</v>
      </c>
      <c r="I5" s="21">
        <v>0.30856864982187737</v>
      </c>
      <c r="J5" s="21">
        <v>6.3182146755459176E-2</v>
      </c>
      <c r="K5" s="21">
        <v>9.8542136130339852E-2</v>
      </c>
      <c r="L5" s="21">
        <v>0.62158494351502758</v>
      </c>
    </row>
    <row r="6" spans="1:12" x14ac:dyDescent="0.35">
      <c r="A6" s="21" t="s">
        <v>110</v>
      </c>
      <c r="B6" s="21" t="s">
        <v>8</v>
      </c>
      <c r="C6" s="21" t="s">
        <v>10</v>
      </c>
      <c r="D6" s="21" t="s">
        <v>25</v>
      </c>
      <c r="E6" s="21" t="s">
        <v>23</v>
      </c>
      <c r="F6" s="21" t="s">
        <v>94</v>
      </c>
      <c r="G6" s="21">
        <v>7.3202196977318987E-2</v>
      </c>
      <c r="H6" s="21">
        <v>0.28099953793446647</v>
      </c>
      <c r="I6" s="21">
        <v>0.65391104134727607</v>
      </c>
      <c r="J6" s="21">
        <v>0.18447176117140066</v>
      </c>
      <c r="K6" s="21">
        <v>0.6677555331727919</v>
      </c>
      <c r="L6" s="21">
        <v>1</v>
      </c>
    </row>
    <row r="7" spans="1:12" x14ac:dyDescent="0.35">
      <c r="A7" s="21" t="s">
        <v>110</v>
      </c>
      <c r="B7" s="21" t="s">
        <v>8</v>
      </c>
      <c r="C7" s="21" t="s">
        <v>11</v>
      </c>
      <c r="D7" s="21" t="s">
        <v>25</v>
      </c>
      <c r="E7" s="21" t="s">
        <v>22</v>
      </c>
      <c r="F7" s="21" t="s">
        <v>95</v>
      </c>
      <c r="G7" s="21">
        <v>0</v>
      </c>
      <c r="H7" s="21">
        <v>0.34619925320659617</v>
      </c>
      <c r="I7" s="21">
        <v>6.2890017696464271E-3</v>
      </c>
      <c r="J7" s="21">
        <v>0.28044805992582172</v>
      </c>
      <c r="K7" s="21">
        <v>8.8770616573359065E-3</v>
      </c>
      <c r="L7" s="21">
        <v>0</v>
      </c>
    </row>
    <row r="8" spans="1:12" x14ac:dyDescent="0.35">
      <c r="A8" s="21" t="s">
        <v>110</v>
      </c>
      <c r="B8" s="21" t="s">
        <v>8</v>
      </c>
      <c r="C8" s="21" t="s">
        <v>11</v>
      </c>
      <c r="D8" s="21" t="s">
        <v>25</v>
      </c>
      <c r="E8" s="21" t="s">
        <v>23</v>
      </c>
      <c r="F8" s="21" t="s">
        <v>96</v>
      </c>
      <c r="G8" s="21">
        <v>0</v>
      </c>
      <c r="H8" s="21">
        <v>1</v>
      </c>
      <c r="I8" s="21">
        <v>0.2375638707344187</v>
      </c>
      <c r="J8" s="21">
        <v>0.66427352238332915</v>
      </c>
      <c r="K8" s="21">
        <v>0.26582787371275651</v>
      </c>
      <c r="L8" s="21">
        <v>8.7358945726986725E-3</v>
      </c>
    </row>
    <row r="9" spans="1:12" x14ac:dyDescent="0.35">
      <c r="A9" s="21" t="s">
        <v>110</v>
      </c>
      <c r="B9" s="21" t="s">
        <v>8</v>
      </c>
      <c r="C9" s="21" t="s">
        <v>12</v>
      </c>
      <c r="D9" s="21" t="s">
        <v>25</v>
      </c>
      <c r="E9" s="21" t="s">
        <v>22</v>
      </c>
      <c r="F9" s="21" t="s">
        <v>97</v>
      </c>
      <c r="G9" s="21">
        <v>0</v>
      </c>
      <c r="H9" s="21">
        <v>0</v>
      </c>
      <c r="I9" s="21">
        <v>0</v>
      </c>
      <c r="J9" s="21">
        <v>0.3425103601712633</v>
      </c>
      <c r="K9" s="21">
        <v>0</v>
      </c>
      <c r="L9" s="21">
        <v>0</v>
      </c>
    </row>
    <row r="10" spans="1:12" x14ac:dyDescent="0.35">
      <c r="A10" s="21" t="s">
        <v>110</v>
      </c>
      <c r="B10" s="21" t="s">
        <v>8</v>
      </c>
      <c r="C10" s="21" t="s">
        <v>12</v>
      </c>
      <c r="D10" s="21" t="s">
        <v>25</v>
      </c>
      <c r="E10" s="21" t="s">
        <v>23</v>
      </c>
      <c r="F10" s="21" t="s">
        <v>98</v>
      </c>
      <c r="G10" s="21">
        <v>0</v>
      </c>
      <c r="H10" s="21">
        <v>0</v>
      </c>
      <c r="I10" s="21">
        <v>0</v>
      </c>
      <c r="J10" s="21">
        <v>1</v>
      </c>
      <c r="K10" s="21">
        <v>0</v>
      </c>
      <c r="L10" s="21">
        <v>0</v>
      </c>
    </row>
    <row r="11" spans="1:12" x14ac:dyDescent="0.35">
      <c r="A11" s="21" t="s">
        <v>110</v>
      </c>
      <c r="B11" s="21" t="s">
        <v>8</v>
      </c>
      <c r="C11" s="21" t="s">
        <v>31</v>
      </c>
      <c r="D11" s="21" t="s">
        <v>25</v>
      </c>
      <c r="E11" s="21" t="s">
        <v>22</v>
      </c>
      <c r="F11" s="21" t="s">
        <v>108</v>
      </c>
      <c r="G11" s="21">
        <v>7.1393465745210501E-3</v>
      </c>
      <c r="H11" s="21">
        <v>1.9179630607030154</v>
      </c>
      <c r="I11" s="21">
        <v>1.1832939252178571</v>
      </c>
      <c r="J11" s="21">
        <v>0</v>
      </c>
      <c r="K11" s="21">
        <v>1.2242673550714462</v>
      </c>
      <c r="L11" s="21">
        <v>0.34287953777441704</v>
      </c>
    </row>
    <row r="12" spans="1:12" x14ac:dyDescent="0.35">
      <c r="A12" s="21" t="s">
        <v>110</v>
      </c>
      <c r="B12" s="21" t="s">
        <v>8</v>
      </c>
      <c r="C12" s="21" t="s">
        <v>31</v>
      </c>
      <c r="D12" s="21" t="s">
        <v>25</v>
      </c>
      <c r="E12" s="21" t="s">
        <v>23</v>
      </c>
      <c r="F12" s="21" t="s">
        <v>109</v>
      </c>
      <c r="G12" s="21">
        <v>1.0709019861781573E-2</v>
      </c>
      <c r="H12" s="21">
        <v>9.0541720212915493</v>
      </c>
      <c r="I12" s="21">
        <v>3.2041585470476579</v>
      </c>
      <c r="J12" s="21">
        <v>0</v>
      </c>
      <c r="K12" s="21">
        <v>3.08922495740023</v>
      </c>
      <c r="L12" s="21">
        <v>1.2316574369962419</v>
      </c>
    </row>
    <row r="13" spans="1:12" x14ac:dyDescent="0.35">
      <c r="A13" s="21" t="s">
        <v>110</v>
      </c>
      <c r="B13" s="21" t="s">
        <v>8</v>
      </c>
      <c r="C13" s="21" t="s">
        <v>16</v>
      </c>
      <c r="D13" s="21" t="s">
        <v>25</v>
      </c>
      <c r="E13" s="21" t="s">
        <v>22</v>
      </c>
      <c r="F13" s="21" t="s">
        <v>101</v>
      </c>
      <c r="G13" s="21">
        <v>1.0263921780880828E-3</v>
      </c>
      <c r="H13" s="21">
        <v>8.360872025158215E-4</v>
      </c>
      <c r="I13" s="21">
        <v>9.1562429957767186E-5</v>
      </c>
      <c r="J13" s="21">
        <v>2.1583151382715093E-5</v>
      </c>
      <c r="K13" s="21">
        <v>1.0000000000000001E-5</v>
      </c>
      <c r="L13" s="21">
        <v>0</v>
      </c>
    </row>
    <row r="14" spans="1:12" x14ac:dyDescent="0.35">
      <c r="A14" s="21" t="s">
        <v>110</v>
      </c>
      <c r="B14" s="21" t="s">
        <v>8</v>
      </c>
      <c r="C14" s="21" t="s">
        <v>16</v>
      </c>
      <c r="D14" s="21" t="s">
        <v>25</v>
      </c>
      <c r="E14" s="21" t="s">
        <v>23</v>
      </c>
      <c r="F14" s="21" t="s">
        <v>102</v>
      </c>
      <c r="G14" s="21">
        <v>1.5395882671321241E-3</v>
      </c>
      <c r="H14" s="21">
        <v>2.4314810207134788E-3</v>
      </c>
      <c r="I14" s="21">
        <v>5.3097438827611203E-4</v>
      </c>
      <c r="J14" s="21">
        <v>2.3183708983338266E-2</v>
      </c>
      <c r="K14" s="21">
        <v>3.0000000000000001E-3</v>
      </c>
      <c r="L14" s="21">
        <v>6.1279804276235198E-3</v>
      </c>
    </row>
    <row r="15" spans="1:12" x14ac:dyDescent="0.35">
      <c r="A15" s="21" t="s">
        <v>110</v>
      </c>
      <c r="B15" s="21" t="s">
        <v>8</v>
      </c>
      <c r="C15" s="21" t="s">
        <v>26</v>
      </c>
      <c r="D15" s="21" t="s">
        <v>25</v>
      </c>
      <c r="E15" s="21" t="s">
        <v>22</v>
      </c>
      <c r="F15" s="21" t="s">
        <v>103</v>
      </c>
      <c r="G15" s="21">
        <v>0.70804304307779808</v>
      </c>
      <c r="H15" s="21">
        <v>0.7029112491661863</v>
      </c>
      <c r="I15" s="21">
        <v>0.70285498716966743</v>
      </c>
      <c r="J15" s="21">
        <v>0.70909999999999995</v>
      </c>
      <c r="K15" s="21" t="s">
        <v>105</v>
      </c>
      <c r="L15" s="21">
        <v>0.7022263505538926</v>
      </c>
    </row>
    <row r="16" spans="1:12" x14ac:dyDescent="0.35">
      <c r="A16" s="21" t="s">
        <v>110</v>
      </c>
      <c r="B16" s="21" t="s">
        <v>8</v>
      </c>
      <c r="C16" s="21" t="s">
        <v>26</v>
      </c>
      <c r="D16" s="21" t="s">
        <v>25</v>
      </c>
      <c r="E16" s="21" t="s">
        <v>23</v>
      </c>
      <c r="F16" s="21" t="s">
        <v>104</v>
      </c>
      <c r="G16" s="21">
        <v>0.70951957939452748</v>
      </c>
      <c r="H16" s="21">
        <v>0.70492383882157839</v>
      </c>
      <c r="I16" s="21">
        <v>0.70509500807765157</v>
      </c>
      <c r="J16" s="21">
        <v>0.70930000000000004</v>
      </c>
      <c r="K16" s="21" t="s">
        <v>105</v>
      </c>
      <c r="L16" s="21">
        <v>0.70984032361279226</v>
      </c>
    </row>
  </sheetData>
  <dataValidations count="1">
    <dataValidation type="list" allowBlank="1" showInputMessage="1" showErrorMessage="1" sqref="A2:F2" xr:uid="{70ADD023-8B01-0041-A9D0-BE75E8E93467}">
      <formula1>" "</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2A94-8A32-0740-9E41-18F59EBF70B6}">
  <dimension ref="A1:C35"/>
  <sheetViews>
    <sheetView workbookViewId="0">
      <pane ySplit="1" topLeftCell="A2" activePane="bottomLeft" state="frozen"/>
      <selection pane="bottomLeft" activeCell="B54" sqref="B54"/>
    </sheetView>
  </sheetViews>
  <sheetFormatPr defaultColWidth="10.58203125" defaultRowHeight="15.5" x14ac:dyDescent="0.35"/>
  <cols>
    <col min="1" max="1" width="10.58203125" style="1"/>
    <col min="2" max="2" width="16.58203125" style="1" customWidth="1"/>
    <col min="3" max="16384" width="10.58203125" style="1"/>
  </cols>
  <sheetData>
    <row r="1" spans="1:3" ht="17.149999999999999" customHeight="1" thickBot="1" x14ac:dyDescent="0.4">
      <c r="A1" s="2" t="s">
        <v>74</v>
      </c>
      <c r="B1" s="3" t="s">
        <v>75</v>
      </c>
      <c r="C1" s="4" t="s">
        <v>77</v>
      </c>
    </row>
    <row r="2" spans="1:3" x14ac:dyDescent="0.35">
      <c r="A2" s="5" t="s">
        <v>19</v>
      </c>
      <c r="B2" s="1">
        <v>1</v>
      </c>
      <c r="C2" s="6" t="s">
        <v>79</v>
      </c>
    </row>
    <row r="3" spans="1:3" x14ac:dyDescent="0.35">
      <c r="A3" s="5" t="s">
        <v>18</v>
      </c>
      <c r="B3" s="1">
        <v>1</v>
      </c>
      <c r="C3" s="6" t="s">
        <v>78</v>
      </c>
    </row>
    <row r="4" spans="1:3" x14ac:dyDescent="0.35">
      <c r="A4" s="5" t="s">
        <v>14</v>
      </c>
      <c r="B4" s="1">
        <v>1</v>
      </c>
      <c r="C4" s="6" t="s">
        <v>78</v>
      </c>
    </row>
    <row r="5" spans="1:3" x14ac:dyDescent="0.35">
      <c r="A5" s="5" t="s">
        <v>9</v>
      </c>
      <c r="B5" s="1">
        <v>2</v>
      </c>
      <c r="C5" s="6" t="s">
        <v>80</v>
      </c>
    </row>
    <row r="6" spans="1:3" x14ac:dyDescent="0.35">
      <c r="A6" s="5" t="s">
        <v>10</v>
      </c>
      <c r="B6" s="1">
        <v>2</v>
      </c>
      <c r="C6" s="6" t="s">
        <v>80</v>
      </c>
    </row>
    <row r="7" spans="1:3" x14ac:dyDescent="0.35">
      <c r="A7" s="5" t="s">
        <v>11</v>
      </c>
      <c r="B7" s="1">
        <v>1</v>
      </c>
      <c r="C7" s="6" t="s">
        <v>80</v>
      </c>
    </row>
    <row r="8" spans="1:3" x14ac:dyDescent="0.35">
      <c r="A8" s="5" t="s">
        <v>20</v>
      </c>
      <c r="B8" s="1">
        <v>1</v>
      </c>
      <c r="C8" s="6" t="s">
        <v>80</v>
      </c>
    </row>
    <row r="9" spans="1:3" x14ac:dyDescent="0.35">
      <c r="A9" s="5" t="s">
        <v>16</v>
      </c>
      <c r="B9" s="1">
        <v>2</v>
      </c>
      <c r="C9" s="6" t="s">
        <v>80</v>
      </c>
    </row>
    <row r="10" spans="1:3" x14ac:dyDescent="0.35">
      <c r="A10" s="5" t="s">
        <v>86</v>
      </c>
      <c r="B10" s="1">
        <v>2</v>
      </c>
      <c r="C10" s="6" t="s">
        <v>80</v>
      </c>
    </row>
    <row r="11" spans="1:3" x14ac:dyDescent="0.35">
      <c r="A11" s="5" t="s">
        <v>12</v>
      </c>
      <c r="B11" s="1">
        <v>1</v>
      </c>
      <c r="C11" s="6" t="s">
        <v>78</v>
      </c>
    </row>
    <row r="12" spans="1:3" x14ac:dyDescent="0.35">
      <c r="A12" s="5" t="s">
        <v>13</v>
      </c>
      <c r="B12" s="1">
        <v>2</v>
      </c>
      <c r="C12" s="6" t="s">
        <v>78</v>
      </c>
    </row>
    <row r="13" spans="1:3" x14ac:dyDescent="0.35">
      <c r="A13" s="5" t="s">
        <v>76</v>
      </c>
      <c r="B13" s="1">
        <v>1</v>
      </c>
      <c r="C13" s="6" t="s">
        <v>78</v>
      </c>
    </row>
    <row r="14" spans="1:3" x14ac:dyDescent="0.35">
      <c r="A14" s="5" t="s">
        <v>81</v>
      </c>
      <c r="B14" s="1">
        <v>3</v>
      </c>
      <c r="C14" s="6" t="s">
        <v>78</v>
      </c>
    </row>
    <row r="15" spans="1:3" x14ac:dyDescent="0.35">
      <c r="A15" s="5" t="s">
        <v>31</v>
      </c>
      <c r="B15" s="1">
        <v>1</v>
      </c>
      <c r="C15" s="6" t="s">
        <v>79</v>
      </c>
    </row>
    <row r="16" spans="1:3" x14ac:dyDescent="0.35">
      <c r="A16" s="5" t="s">
        <v>82</v>
      </c>
      <c r="B16" s="1">
        <v>1</v>
      </c>
      <c r="C16" s="6" t="s">
        <v>79</v>
      </c>
    </row>
    <row r="17" spans="1:3" x14ac:dyDescent="0.35">
      <c r="A17" s="5" t="s">
        <v>29</v>
      </c>
      <c r="B17" s="1">
        <v>1</v>
      </c>
      <c r="C17" s="6" t="s">
        <v>80</v>
      </c>
    </row>
    <row r="18" spans="1:3" x14ac:dyDescent="0.35">
      <c r="A18" s="5" t="s">
        <v>83</v>
      </c>
      <c r="B18" s="1">
        <v>1</v>
      </c>
      <c r="C18" s="6" t="s">
        <v>78</v>
      </c>
    </row>
    <row r="19" spans="1:3" x14ac:dyDescent="0.35">
      <c r="A19" s="5" t="s">
        <v>84</v>
      </c>
      <c r="B19" s="1">
        <v>1</v>
      </c>
      <c r="C19" s="6" t="s">
        <v>79</v>
      </c>
    </row>
    <row r="20" spans="1:3" x14ac:dyDescent="0.35">
      <c r="A20" s="5" t="s">
        <v>17</v>
      </c>
      <c r="B20" s="1">
        <v>1</v>
      </c>
      <c r="C20" s="6" t="s">
        <v>79</v>
      </c>
    </row>
    <row r="21" spans="1:3" x14ac:dyDescent="0.35">
      <c r="A21" s="5" t="s">
        <v>85</v>
      </c>
      <c r="B21" s="1">
        <v>1</v>
      </c>
      <c r="C21" s="6" t="s">
        <v>79</v>
      </c>
    </row>
    <row r="22" spans="1:3" x14ac:dyDescent="0.35">
      <c r="A22" s="5" t="s">
        <v>42</v>
      </c>
      <c r="B22" s="1">
        <v>1</v>
      </c>
      <c r="C22" s="6" t="s">
        <v>79</v>
      </c>
    </row>
    <row r="23" spans="1:3" x14ac:dyDescent="0.35">
      <c r="A23" s="5" t="s">
        <v>30</v>
      </c>
      <c r="B23" s="1">
        <v>1</v>
      </c>
      <c r="C23" s="6" t="s">
        <v>79</v>
      </c>
    </row>
    <row r="24" spans="1:3" x14ac:dyDescent="0.35">
      <c r="A24" s="5" t="s">
        <v>38</v>
      </c>
      <c r="B24" s="1">
        <v>1</v>
      </c>
      <c r="C24" s="6" t="s">
        <v>79</v>
      </c>
    </row>
    <row r="25" spans="1:3" x14ac:dyDescent="0.35">
      <c r="A25" s="5" t="s">
        <v>39</v>
      </c>
      <c r="B25" s="1">
        <v>1</v>
      </c>
      <c r="C25" s="6" t="s">
        <v>79</v>
      </c>
    </row>
    <row r="26" spans="1:3" x14ac:dyDescent="0.35">
      <c r="A26" s="5" t="s">
        <v>27</v>
      </c>
      <c r="B26" s="1">
        <v>1</v>
      </c>
      <c r="C26" s="6" t="s">
        <v>79</v>
      </c>
    </row>
    <row r="27" spans="1:3" x14ac:dyDescent="0.35">
      <c r="A27" s="5" t="s">
        <v>32</v>
      </c>
      <c r="B27" s="1">
        <v>1</v>
      </c>
      <c r="C27" s="6" t="s">
        <v>79</v>
      </c>
    </row>
    <row r="28" spans="1:3" x14ac:dyDescent="0.35">
      <c r="A28" s="5" t="s">
        <v>15</v>
      </c>
      <c r="B28" s="1">
        <v>1</v>
      </c>
      <c r="C28" s="6" t="s">
        <v>79</v>
      </c>
    </row>
    <row r="29" spans="1:3" x14ac:dyDescent="0.35">
      <c r="A29" s="5" t="s">
        <v>40</v>
      </c>
      <c r="B29" s="1">
        <v>1</v>
      </c>
      <c r="C29" s="6" t="s">
        <v>79</v>
      </c>
    </row>
    <row r="30" spans="1:3" x14ac:dyDescent="0.35">
      <c r="A30" s="5" t="s">
        <v>28</v>
      </c>
      <c r="B30" s="1">
        <v>1</v>
      </c>
      <c r="C30" s="6" t="s">
        <v>79</v>
      </c>
    </row>
    <row r="31" spans="1:3" x14ac:dyDescent="0.35">
      <c r="A31" s="5" t="s">
        <v>87</v>
      </c>
      <c r="B31" s="1">
        <v>1</v>
      </c>
      <c r="C31" s="6" t="s">
        <v>79</v>
      </c>
    </row>
    <row r="32" spans="1:3" x14ac:dyDescent="0.35">
      <c r="A32" s="5" t="s">
        <v>26</v>
      </c>
      <c r="B32" s="1">
        <v>1</v>
      </c>
      <c r="C32" s="6" t="s">
        <v>79</v>
      </c>
    </row>
    <row r="33" spans="1:3" x14ac:dyDescent="0.35">
      <c r="A33" s="5" t="s">
        <v>41</v>
      </c>
      <c r="B33" s="1">
        <v>1</v>
      </c>
      <c r="C33" s="6" t="s">
        <v>79</v>
      </c>
    </row>
    <row r="34" spans="1:3" x14ac:dyDescent="0.35">
      <c r="A34" s="5" t="s">
        <v>45</v>
      </c>
      <c r="B34" s="1">
        <v>1</v>
      </c>
      <c r="C34" s="6" t="s">
        <v>79</v>
      </c>
    </row>
    <row r="35" spans="1:3" ht="16" thickBot="1" x14ac:dyDescent="0.4">
      <c r="A35" s="7" t="s">
        <v>33</v>
      </c>
      <c r="B35" s="8">
        <v>1</v>
      </c>
      <c r="C35" s="9" t="s">
        <v>79</v>
      </c>
    </row>
  </sheetData>
  <dataValidations count="1">
    <dataValidation type="list" allowBlank="1" showInputMessage="1" showErrorMessage="1" sqref="C2:C35" xr:uid="{D7A428B4-09FA-0F42-B5DB-0CF44322F9B4}">
      <formula1>"positive, negative, neutral"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0365-D217-AC4A-9BFF-9A59556CB299}">
  <dimension ref="A1:AO11"/>
  <sheetViews>
    <sheetView workbookViewId="0">
      <pane ySplit="1" topLeftCell="A2" activePane="bottomLeft" state="frozen"/>
      <selection pane="bottomLeft" activeCell="D38" sqref="D38"/>
    </sheetView>
  </sheetViews>
  <sheetFormatPr defaultColWidth="11.08203125" defaultRowHeight="15.5" x14ac:dyDescent="0.35"/>
  <cols>
    <col min="1" max="2" width="14.5" customWidth="1"/>
    <col min="4" max="4" width="14.08203125" customWidth="1"/>
  </cols>
  <sheetData>
    <row r="1" spans="1:41" ht="16" thickBot="1" x14ac:dyDescent="0.4">
      <c r="A1" s="15" t="s">
        <v>37</v>
      </c>
      <c r="B1" s="16" t="s">
        <v>61</v>
      </c>
      <c r="C1" s="16" t="s">
        <v>43</v>
      </c>
      <c r="D1" s="16" t="s">
        <v>44</v>
      </c>
      <c r="E1" s="16" t="s">
        <v>47</v>
      </c>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8"/>
    </row>
    <row r="2" spans="1:41" x14ac:dyDescent="0.35">
      <c r="A2" s="10" t="s">
        <v>30</v>
      </c>
      <c r="B2" t="s">
        <v>62</v>
      </c>
      <c r="C2">
        <f>(1/0.08212)/(0.14/1000+1)</f>
        <v>12.175596926415688</v>
      </c>
      <c r="D2" t="s">
        <v>50</v>
      </c>
      <c r="E2" t="s">
        <v>60</v>
      </c>
      <c r="AO2" s="11"/>
    </row>
    <row r="3" spans="1:41" x14ac:dyDescent="0.35">
      <c r="A3" s="10" t="s">
        <v>38</v>
      </c>
      <c r="B3" t="s">
        <v>63</v>
      </c>
      <c r="C3">
        <v>1.1180000000000001E-2</v>
      </c>
      <c r="D3" t="s">
        <v>48</v>
      </c>
      <c r="E3" t="s">
        <v>54</v>
      </c>
      <c r="AO3" s="11"/>
    </row>
    <row r="4" spans="1:41" x14ac:dyDescent="0.35">
      <c r="A4" s="10" t="s">
        <v>39</v>
      </c>
      <c r="B4" t="s">
        <v>64</v>
      </c>
      <c r="C4">
        <v>2.0052E-3</v>
      </c>
      <c r="D4" t="s">
        <v>49</v>
      </c>
      <c r="E4" t="s">
        <v>55</v>
      </c>
      <c r="AO4" s="11"/>
    </row>
    <row r="5" spans="1:41" x14ac:dyDescent="0.35">
      <c r="A5" s="10" t="s">
        <v>27</v>
      </c>
      <c r="B5" t="s">
        <v>65</v>
      </c>
      <c r="C5">
        <v>0.1396906</v>
      </c>
      <c r="D5" t="s">
        <v>51</v>
      </c>
      <c r="E5" t="s">
        <v>52</v>
      </c>
      <c r="AO5" s="11"/>
    </row>
    <row r="6" spans="1:41" x14ac:dyDescent="0.35">
      <c r="A6" s="10" t="s">
        <v>32</v>
      </c>
      <c r="B6" t="s">
        <v>66</v>
      </c>
      <c r="C6">
        <f>0.0309249/0.9222059</f>
        <v>3.3533617601015135E-2</v>
      </c>
      <c r="D6" t="s">
        <v>56</v>
      </c>
      <c r="E6" t="s">
        <v>57</v>
      </c>
      <c r="AO6" s="11"/>
    </row>
    <row r="7" spans="1:41" x14ac:dyDescent="0.35">
      <c r="A7" s="10" t="s">
        <v>15</v>
      </c>
      <c r="B7" t="s">
        <v>67</v>
      </c>
      <c r="C7">
        <f>1/22.6436</f>
        <v>4.416258898761681E-2</v>
      </c>
      <c r="D7" t="s">
        <v>46</v>
      </c>
      <c r="E7" t="s">
        <v>53</v>
      </c>
      <c r="AO7" s="11"/>
    </row>
    <row r="8" spans="1:41" x14ac:dyDescent="0.35">
      <c r="A8" s="10" t="s">
        <v>40</v>
      </c>
      <c r="B8" t="s">
        <v>69</v>
      </c>
      <c r="C8">
        <f>(1/0.3104)/(0.085/1000+1)</f>
        <v>3.2213756676043364</v>
      </c>
      <c r="D8" t="s">
        <v>58</v>
      </c>
      <c r="E8" t="s">
        <v>70</v>
      </c>
      <c r="AO8" s="11"/>
    </row>
    <row r="9" spans="1:41" x14ac:dyDescent="0.35">
      <c r="A9" s="10" t="s">
        <v>28</v>
      </c>
      <c r="B9" t="s">
        <v>68</v>
      </c>
      <c r="C9">
        <f>(1/46.48)/(0.17/1000+1)</f>
        <v>2.1510973082940789E-2</v>
      </c>
      <c r="D9" t="s">
        <v>58</v>
      </c>
      <c r="E9" t="s">
        <v>59</v>
      </c>
      <c r="AO9" s="11"/>
    </row>
    <row r="10" spans="1:41" x14ac:dyDescent="0.35">
      <c r="A10" s="10" t="s">
        <v>87</v>
      </c>
      <c r="B10" t="s">
        <v>88</v>
      </c>
      <c r="C10">
        <f>1/0.0637</f>
        <v>15.698587127158554</v>
      </c>
      <c r="D10" t="s">
        <v>89</v>
      </c>
      <c r="E10" t="s">
        <v>90</v>
      </c>
      <c r="AO10" s="11"/>
    </row>
    <row r="11" spans="1:41" ht="16" thickBot="1" x14ac:dyDescent="0.4">
      <c r="A11" s="12" t="s">
        <v>41</v>
      </c>
      <c r="B11" s="13" t="s">
        <v>71</v>
      </c>
      <c r="C11" s="13">
        <f>24.29/15.873</f>
        <v>1.5302715302715302</v>
      </c>
      <c r="D11" s="13" t="s">
        <v>72</v>
      </c>
      <c r="E11" s="13" t="s">
        <v>73</v>
      </c>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4"/>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MEANDIR_Endmembers</vt:lpstr>
      <vt:lpstr>MEANDIR_conc2equi</vt:lpstr>
      <vt:lpstr>MEANDIR_DeltaNotationToR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Preston Kemeny</dc:creator>
  <cp:lastModifiedBy>Justin Custado</cp:lastModifiedBy>
  <dcterms:created xsi:type="dcterms:W3CDTF">2018-02-28T22:02:59Z</dcterms:created>
  <dcterms:modified xsi:type="dcterms:W3CDTF">2026-09-17T21:55:20Z</dcterms:modified>
</cp:coreProperties>
</file>