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 - Custado\Zambales weathering\Inversions\MEANDIR_v1_2_for_2025_paper_for_results_processing\"/>
    </mc:Choice>
  </mc:AlternateContent>
  <xr:revisionPtr revIDLastSave="0" documentId="13_ncr:1_{E164227D-9B71-4C37-A57B-19CA852A6928}" xr6:coauthVersionLast="47" xr6:coauthVersionMax="47" xr10:uidLastSave="{00000000-0000-0000-0000-000000000000}"/>
  <bookViews>
    <workbookView xWindow="-110" yWindow="-110" windowWidth="38620" windowHeight="21100" xr2:uid="{F43319C1-1381-43F1-B89D-DCCFA6872022}"/>
  </bookViews>
  <sheets>
    <sheet name="MyRiv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8" i="1" l="1"/>
</calcChain>
</file>

<file path=xl/sharedStrings.xml><?xml version="1.0" encoding="utf-8"?>
<sst xmlns="http://schemas.openxmlformats.org/spreadsheetml/2006/main" count="150" uniqueCount="146">
  <si>
    <t>SampleNumber</t>
  </si>
  <si>
    <t>Latitude_oN</t>
  </si>
  <si>
    <t>Longitude_oE</t>
  </si>
  <si>
    <t>ExtraField1</t>
  </si>
  <si>
    <t>ExtraField2</t>
  </si>
  <si>
    <t>ExtraField3</t>
  </si>
  <si>
    <t>ExtraField4</t>
  </si>
  <si>
    <t>ExtraField5</t>
  </si>
  <si>
    <t>ALK_uM</t>
  </si>
  <si>
    <t>Unc_ALK_uM_1sigma</t>
  </si>
  <si>
    <t>DIC_uM</t>
  </si>
  <si>
    <t>Unc_DIC_uM_1sigma</t>
  </si>
  <si>
    <t>ClCritical</t>
  </si>
  <si>
    <t>Ca_uM</t>
  </si>
  <si>
    <t>Unc_Ca_uM_1sigma</t>
  </si>
  <si>
    <t>Mg_uM</t>
  </si>
  <si>
    <t>Unc_Mg_uM_1sigma</t>
  </si>
  <si>
    <t>Na_uM</t>
  </si>
  <si>
    <t>Unc_Na_uM_1sigma</t>
  </si>
  <si>
    <t>K_uM</t>
  </si>
  <si>
    <t>Unc_K_uM_1sigma</t>
  </si>
  <si>
    <t>Sr_uM</t>
  </si>
  <si>
    <t>Unc_Sr_uM_1sigma</t>
  </si>
  <si>
    <t>Cl_uM</t>
  </si>
  <si>
    <t>Unc_Cl_uM_1sigma</t>
  </si>
  <si>
    <t>SO4_uM</t>
  </si>
  <si>
    <t>Unc_SO4_uM_1sigma</t>
  </si>
  <si>
    <t>NO3_uM</t>
  </si>
  <si>
    <t>Unc_NO3_uM_1sigma</t>
  </si>
  <si>
    <t>PO4_uM</t>
  </si>
  <si>
    <t>Unc_PO4_uM_1sigma</t>
  </si>
  <si>
    <t>Si_uM</t>
  </si>
  <si>
    <t>Unc_Si_uM_1sigma</t>
  </si>
  <si>
    <t>Ge_uM</t>
  </si>
  <si>
    <t>Unc_Ge_uM_1sigma</t>
  </si>
  <si>
    <t>Li_uM</t>
  </si>
  <si>
    <t>Unc_Li_uM_1sigma</t>
  </si>
  <si>
    <t>F_uM</t>
  </si>
  <si>
    <t>Unc_F_uM_1sigma</t>
  </si>
  <si>
    <t>Fe_pM</t>
  </si>
  <si>
    <t>Unc_Fe_pM_1sigma</t>
  </si>
  <si>
    <t>B_pM</t>
  </si>
  <si>
    <t>Unc_B_pM_1sigma</t>
  </si>
  <si>
    <t>Re_pM</t>
  </si>
  <si>
    <t>Unc_Re_pM_1sigma</t>
  </si>
  <si>
    <t>Mo_pM</t>
  </si>
  <si>
    <t>Unc_Mo_pM_1sigma</t>
  </si>
  <si>
    <t>Os_pM</t>
  </si>
  <si>
    <t>Unc_Os_pM_1sigma</t>
  </si>
  <si>
    <t>HCO3_uM</t>
  </si>
  <si>
    <t>Unc_HCO3_uM_1sigma</t>
  </si>
  <si>
    <t>d34S_permil</t>
  </si>
  <si>
    <t>Unc_d34S_permil_1sigma</t>
  </si>
  <si>
    <t>d18O_permil</t>
  </si>
  <si>
    <t>Unc_d18O_permil_1sigma</t>
  </si>
  <si>
    <t>d7Li_permil</t>
  </si>
  <si>
    <t>Unc_d7Li_permil_1sigma</t>
  </si>
  <si>
    <t>d26Mg_permil</t>
  </si>
  <si>
    <t>Unc_d26Mg_permil_1sigma</t>
  </si>
  <si>
    <t>d30Si_permil</t>
  </si>
  <si>
    <t>Unc_d30Si_permil_1sigma</t>
  </si>
  <si>
    <t>d42Ca_permil</t>
  </si>
  <si>
    <t>Unc_d42Ca_permil_1sigma</t>
  </si>
  <si>
    <t>d44Ca_permil</t>
  </si>
  <si>
    <t>Unc_d44Ca_permil_1sigma</t>
  </si>
  <si>
    <t>d56Fe_permil</t>
  </si>
  <si>
    <t>Unc_d56Fe_permil_1sigma</t>
  </si>
  <si>
    <t>Sr8786_ratio</t>
  </si>
  <si>
    <t>Unc_Sr8786_ratio_1sigma</t>
  </si>
  <si>
    <t>d98Mo_permil</t>
  </si>
  <si>
    <t>Unc_d98Mo_permil_1sigma</t>
  </si>
  <si>
    <t>Os187188_ratio</t>
  </si>
  <si>
    <t>Unc_Os187188_ratio_1sigma</t>
  </si>
  <si>
    <t>d13C_permil</t>
  </si>
  <si>
    <t>Unc_d13C_permil_1sigma</t>
  </si>
  <si>
    <t>Fmod</t>
  </si>
  <si>
    <t>Unc_Fmod_1sigma</t>
  </si>
  <si>
    <t>lawis_river_schopka</t>
  </si>
  <si>
    <t>bulsa_river_ds_schopka</t>
  </si>
  <si>
    <t>camiling_river_us_schopka</t>
  </si>
  <si>
    <t>malabobo_river_schopka</t>
  </si>
  <si>
    <t>dumoloc_river_schopka</t>
  </si>
  <si>
    <t>bulsa_river_ds_zam22</t>
  </si>
  <si>
    <t>bulsa_river_us_zam22</t>
  </si>
  <si>
    <t>camiling_river_ds_zam22</t>
  </si>
  <si>
    <t xml:space="preserve"> </t>
  </si>
  <si>
    <t>malabobo_river_zam22</t>
  </si>
  <si>
    <t>bayaoas_river_zam22</t>
  </si>
  <si>
    <t>dumoloc_river_zam22</t>
  </si>
  <si>
    <t>mapita_river_zam22</t>
  </si>
  <si>
    <t>pmb1_zam22</t>
  </si>
  <si>
    <t>pmb2_zam22</t>
  </si>
  <si>
    <t>pmb4_zam22</t>
  </si>
  <si>
    <t>pmb3_zam22</t>
  </si>
  <si>
    <t>sc7_zam22</t>
  </si>
  <si>
    <t>lawis_river_zam22</t>
  </si>
  <si>
    <t>masinloc_river_zam22</t>
  </si>
  <si>
    <t>salasa_river_zam22</t>
  </si>
  <si>
    <t>bagsit_river_zam22</t>
  </si>
  <si>
    <t>bancal_river_zam22</t>
  </si>
  <si>
    <t>bucao_river_zam22</t>
  </si>
  <si>
    <t>maloma_river_zam22</t>
  </si>
  <si>
    <t>bulsa_river_us_zam23</t>
  </si>
  <si>
    <t>camiling_river_ds_zam23</t>
  </si>
  <si>
    <t>malabobo_river_zam23</t>
  </si>
  <si>
    <t>bayaoas_river_zam23</t>
  </si>
  <si>
    <t>mapita_river_zam23</t>
  </si>
  <si>
    <t>dumoloc_river_zam23</t>
  </si>
  <si>
    <t>pmb1_zam23</t>
  </si>
  <si>
    <t>pmb2_zam23</t>
  </si>
  <si>
    <t>pmb3_zam23</t>
  </si>
  <si>
    <t>pmb4_zam23</t>
  </si>
  <si>
    <t>sc7_zam23</t>
  </si>
  <si>
    <t>sc5_zam23</t>
  </si>
  <si>
    <t>sc1_zam23</t>
  </si>
  <si>
    <t>lawis_river_zam23</t>
  </si>
  <si>
    <t>masinloc_river_zam23</t>
  </si>
  <si>
    <t>salasa_river_zam23</t>
  </si>
  <si>
    <t>bagsit_river_zam23</t>
  </si>
  <si>
    <t>bucao_river_zam23</t>
  </si>
  <si>
    <t>maloma_river_zam23</t>
  </si>
  <si>
    <t>bulsa_river_us_zam24</t>
  </si>
  <si>
    <t>camiling_river_us_zam24</t>
  </si>
  <si>
    <t>camiling_river_ds_zam24</t>
  </si>
  <si>
    <t>malabobo_river_zam24</t>
  </si>
  <si>
    <t>bayaoas_river_zam24</t>
  </si>
  <si>
    <t>mapita_river_zam24</t>
  </si>
  <si>
    <t>dumoloc_river_zam24</t>
  </si>
  <si>
    <t>pmb4_zam24</t>
  </si>
  <si>
    <t>pmb34_zam24</t>
  </si>
  <si>
    <t>pmb3_zam24</t>
  </si>
  <si>
    <t>pmb2_zam24</t>
  </si>
  <si>
    <t>pmb1_zam24</t>
  </si>
  <si>
    <t>sc6_zam24</t>
  </si>
  <si>
    <t>sc7_zam24</t>
  </si>
  <si>
    <t>sc4_zam24</t>
  </si>
  <si>
    <t>sc1_zam24</t>
  </si>
  <si>
    <t>lawis_river_zam24</t>
  </si>
  <si>
    <t>masinloc_river_zam24</t>
  </si>
  <si>
    <t>salasa_river_zam24</t>
  </si>
  <si>
    <t>bagsit_river_zam24</t>
  </si>
  <si>
    <t>bancal_river_zam24</t>
  </si>
  <si>
    <t>bucao_river_zam24</t>
  </si>
  <si>
    <t>dapya_river_zam24</t>
  </si>
  <si>
    <t>maloma_river_zam24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</si>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</sst>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10"/>
      <name val="Verdana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70C0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1" fontId="5" fillId="0" borderId="6" xfId="0" applyNumberFormat="1" applyFon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65" fontId="4" fillId="0" borderId="5" xfId="0" applyNumberFormat="1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right"/>
    </xf>
    <xf numFmtId="164" fontId="0" fillId="0" borderId="4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  <xf numFmtId="1" fontId="4" fillId="0" borderId="5" xfId="0" applyNumberFormat="1" applyFont="1" applyBorder="1" applyAlignment="1">
      <alignment horizontal="left"/>
    </xf>
    <xf numFmtId="2" fontId="5" fillId="0" borderId="6" xfId="0" applyNumberFormat="1" applyFont="1" applyBorder="1" applyAlignment="1">
      <alignment horizontal="left"/>
    </xf>
    <xf numFmtId="1" fontId="4" fillId="0" borderId="5" xfId="1" applyNumberFormat="1" applyFont="1" applyFill="1" applyBorder="1" applyAlignment="1">
      <alignment horizontal="left"/>
    </xf>
    <xf numFmtId="164" fontId="4" fillId="0" borderId="0" xfId="0" applyNumberFormat="1" applyFont="1" applyAlignment="1">
      <alignment horizontal="left"/>
    </xf>
    <xf numFmtId="164" fontId="4" fillId="0" borderId="4" xfId="2" applyNumberFormat="1" applyFont="1" applyBorder="1" applyAlignment="1">
      <alignment horizontal="left"/>
    </xf>
    <xf numFmtId="164" fontId="4" fillId="0" borderId="5" xfId="2" applyNumberFormat="1" applyFont="1" applyBorder="1" applyAlignment="1">
      <alignment horizontal="left"/>
    </xf>
    <xf numFmtId="164" fontId="4" fillId="0" borderId="0" xfId="2" applyNumberFormat="1" applyFont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0" xfId="0" applyFont="1"/>
    <xf numFmtId="0" fontId="9" fillId="0" borderId="0" xfId="0" applyFont="1"/>
  </cellXfs>
  <cellStyles count="3">
    <cellStyle name="Good" xfId="1" builtinId="26"/>
    <cellStyle name="Normal" xfId="0" builtinId="0"/>
    <cellStyle name="Normal 2" xfId="2" xr:uid="{A0022BC4-BD60-4852-8978-8074B12A4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75CF-322A-4C28-BB2C-4A3CCBEF964C}">
  <dimension ref="A1:BZ72"/>
  <sheetViews>
    <sheetView tabSelected="1" topLeftCell="R1" zoomScale="115" zoomScaleNormal="115" workbookViewId="0">
      <selection activeCell="X12" sqref="X12"/>
    </sheetView>
  </sheetViews>
  <sheetFormatPr defaultColWidth="12.1796875" defaultRowHeight="14.5" x14ac:dyDescent="0.35"/>
  <cols>
    <col min="1" max="1" width="22.6328125" style="30" bestFit="1" customWidth="1"/>
    <col min="2" max="2" width="15.26953125" bestFit="1" customWidth="1"/>
    <col min="4" max="4" width="13.26953125" bestFit="1" customWidth="1"/>
    <col min="5" max="5" width="11.453125" style="28" bestFit="1" customWidth="1"/>
    <col min="6" max="9" width="11.453125" bestFit="1" customWidth="1"/>
    <col min="10" max="10" width="8.7265625" style="28" bestFit="1" customWidth="1"/>
    <col min="11" max="11" width="21.08984375" bestFit="1" customWidth="1"/>
    <col min="12" max="12" width="8.36328125" bestFit="1" customWidth="1"/>
    <col min="13" max="13" width="20.7265625" style="29" bestFit="1" customWidth="1"/>
    <col min="14" max="14" width="9.08984375" style="30" bestFit="1" customWidth="1"/>
    <col min="15" max="15" width="7.453125" bestFit="1" customWidth="1"/>
    <col min="16" max="16" width="19.81640625" style="29" bestFit="1" customWidth="1"/>
    <col min="17" max="17" width="8.1796875" style="28" bestFit="1" customWidth="1"/>
    <col min="18" max="18" width="20.54296875" style="29" bestFit="1" customWidth="1"/>
    <col min="19" max="19" width="7.81640625" style="28" bestFit="1" customWidth="1"/>
    <col min="20" max="20" width="20.1796875" style="29" bestFit="1" customWidth="1"/>
    <col min="21" max="21" width="6.54296875" style="28" bestFit="1" customWidth="1"/>
    <col min="22" max="22" width="18.90625" style="29" bestFit="1" customWidth="1"/>
    <col min="23" max="23" width="7.08984375" style="28" bestFit="1" customWidth="1"/>
    <col min="24" max="24" width="19.453125" style="29" bestFit="1" customWidth="1"/>
    <col min="25" max="25" width="6.90625" style="28" bestFit="1" customWidth="1"/>
    <col min="26" max="26" width="19.26953125" style="29" bestFit="1" customWidth="1"/>
    <col min="27" max="27" width="8.90625" style="28" bestFit="1" customWidth="1"/>
    <col min="28" max="28" width="21.26953125" style="29" bestFit="1" customWidth="1"/>
    <col min="29" max="29" width="9.26953125" style="28" bestFit="1" customWidth="1"/>
    <col min="30" max="30" width="21.6328125" style="29" bestFit="1" customWidth="1"/>
    <col min="31" max="31" width="8.90625" bestFit="1" customWidth="1"/>
    <col min="32" max="32" width="21.26953125" bestFit="1" customWidth="1"/>
    <col min="33" max="33" width="6.90625" style="28" bestFit="1" customWidth="1"/>
    <col min="34" max="34" width="19.26953125" style="29" bestFit="1" customWidth="1"/>
    <col min="35" max="35" width="7.81640625" bestFit="1" customWidth="1"/>
    <col min="36" max="36" width="20.1796875" bestFit="1" customWidth="1"/>
    <col min="37" max="37" width="6.7265625" style="28" bestFit="1" customWidth="1"/>
    <col min="38" max="38" width="19.08984375" style="29" bestFit="1" customWidth="1"/>
    <col min="39" max="39" width="6.36328125" style="28" bestFit="1" customWidth="1"/>
    <col min="40" max="40" width="18.7265625" style="29" bestFit="1" customWidth="1"/>
    <col min="41" max="42" width="18.7265625" customWidth="1"/>
    <col min="43" max="43" width="6.54296875" style="28" bestFit="1" customWidth="1"/>
    <col min="44" max="44" width="18.90625" style="29" bestFit="1" customWidth="1"/>
    <col min="45" max="45" width="7.6328125" style="28" bestFit="1" customWidth="1"/>
    <col min="46" max="46" width="20" style="29" bestFit="1" customWidth="1"/>
    <col min="47" max="47" width="8.1796875" style="28" bestFit="1" customWidth="1"/>
    <col min="48" max="48" width="20.54296875" style="29" bestFit="1" customWidth="1"/>
    <col min="49" max="49" width="7.6328125" style="28" bestFit="1" customWidth="1"/>
    <col min="50" max="50" width="20" style="29" bestFit="1" customWidth="1"/>
    <col min="51" max="51" width="10.36328125" bestFit="1" customWidth="1"/>
    <col min="52" max="52" width="22.7265625" style="16" bestFit="1" customWidth="1"/>
    <col min="53" max="53" width="12.54296875" style="28" bestFit="1" customWidth="1"/>
    <col min="54" max="54" width="25.08984375" style="29" bestFit="1" customWidth="1"/>
    <col min="55" max="55" width="12.90625" bestFit="1" customWidth="1"/>
    <col min="56" max="56" width="25.453125" bestFit="1" customWidth="1"/>
    <col min="57" max="57" width="11.81640625" style="28" bestFit="1" customWidth="1"/>
    <col min="58" max="58" width="24.36328125" style="29" bestFit="1" customWidth="1"/>
    <col min="59" max="59" width="14.36328125" style="28" bestFit="1" customWidth="1"/>
    <col min="60" max="60" width="26.90625" style="29" bestFit="1" customWidth="1"/>
    <col min="61" max="61" width="13.08984375" bestFit="1" customWidth="1"/>
    <col min="62" max="62" width="25.6328125" bestFit="1" customWidth="1"/>
    <col min="63" max="63" width="13.6328125" style="28" bestFit="1" customWidth="1"/>
    <col min="64" max="64" width="26.1796875" style="29" bestFit="1" customWidth="1"/>
    <col min="65" max="65" width="13.6328125" style="28" bestFit="1" customWidth="1"/>
    <col min="66" max="66" width="26.1796875" style="29" bestFit="1" customWidth="1"/>
    <col min="67" max="67" width="17.81640625" customWidth="1"/>
    <col min="68" max="68" width="26.1796875" customWidth="1"/>
    <col min="69" max="69" width="12.7265625" style="28" bestFit="1" customWidth="1"/>
    <col min="70" max="70" width="25.26953125" style="29" bestFit="1" customWidth="1"/>
    <col min="71" max="71" width="14.36328125" style="28" bestFit="1" customWidth="1"/>
    <col min="72" max="72" width="26.90625" style="29" bestFit="1" customWidth="1"/>
    <col min="73" max="73" width="15.6328125" style="28" customWidth="1"/>
    <col min="74" max="74" width="28.54296875" style="29" customWidth="1"/>
    <col min="75" max="75" width="12.54296875" style="28" bestFit="1" customWidth="1"/>
    <col min="76" max="76" width="25.08984375" style="29" bestFit="1" customWidth="1"/>
    <col min="77" max="77" width="6.36328125" style="28" bestFit="1" customWidth="1"/>
    <col min="78" max="78" width="18.7265625" style="29" bestFit="1" customWidth="1"/>
  </cols>
  <sheetData>
    <row r="1" spans="1:78" s="5" customFormat="1" ht="16" x14ac:dyDescent="0.4">
      <c r="A1" s="1" t="s">
        <v>145</v>
      </c>
      <c r="B1" s="2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2" t="s">
        <v>9</v>
      </c>
      <c r="L1" s="2" t="s">
        <v>10</v>
      </c>
      <c r="M1" s="3" t="s">
        <v>11</v>
      </c>
      <c r="N1" s="4" t="s">
        <v>12</v>
      </c>
      <c r="O1" s="1" t="s">
        <v>13</v>
      </c>
      <c r="P1" s="3" t="s">
        <v>14</v>
      </c>
      <c r="Q1" s="2" t="s">
        <v>15</v>
      </c>
      <c r="R1" s="3" t="s">
        <v>16</v>
      </c>
      <c r="S1" s="2" t="s">
        <v>17</v>
      </c>
      <c r="T1" s="3" t="s">
        <v>18</v>
      </c>
      <c r="U1" s="2" t="s">
        <v>19</v>
      </c>
      <c r="V1" s="3" t="s">
        <v>20</v>
      </c>
      <c r="W1" s="2" t="s">
        <v>21</v>
      </c>
      <c r="X1" s="3" t="s">
        <v>22</v>
      </c>
      <c r="Y1" s="2" t="s">
        <v>23</v>
      </c>
      <c r="Z1" s="3" t="s">
        <v>24</v>
      </c>
      <c r="AA1" s="2" t="s">
        <v>25</v>
      </c>
      <c r="AB1" s="3" t="s">
        <v>26</v>
      </c>
      <c r="AC1" s="2" t="s">
        <v>27</v>
      </c>
      <c r="AD1" s="3" t="s">
        <v>28</v>
      </c>
      <c r="AE1" s="2" t="s">
        <v>29</v>
      </c>
      <c r="AF1" s="2" t="s">
        <v>30</v>
      </c>
      <c r="AG1" s="1" t="s">
        <v>31</v>
      </c>
      <c r="AH1" s="3" t="s">
        <v>32</v>
      </c>
      <c r="AI1" s="2" t="s">
        <v>33</v>
      </c>
      <c r="AJ1" s="2" t="s">
        <v>34</v>
      </c>
      <c r="AK1" s="1" t="s">
        <v>35</v>
      </c>
      <c r="AL1" s="3" t="s">
        <v>36</v>
      </c>
      <c r="AM1" s="2" t="s">
        <v>37</v>
      </c>
      <c r="AN1" s="3" t="s">
        <v>38</v>
      </c>
      <c r="AO1" s="2" t="s">
        <v>39</v>
      </c>
      <c r="AP1" s="3" t="s">
        <v>40</v>
      </c>
      <c r="AQ1" s="2" t="s">
        <v>41</v>
      </c>
      <c r="AR1" s="3" t="s">
        <v>42</v>
      </c>
      <c r="AS1" s="2" t="s">
        <v>43</v>
      </c>
      <c r="AT1" s="3" t="s">
        <v>44</v>
      </c>
      <c r="AU1" s="2" t="s">
        <v>45</v>
      </c>
      <c r="AV1" s="3" t="s">
        <v>46</v>
      </c>
      <c r="AW1" s="2" t="s">
        <v>47</v>
      </c>
      <c r="AX1" s="3" t="s">
        <v>48</v>
      </c>
      <c r="AY1" s="2" t="s">
        <v>49</v>
      </c>
      <c r="AZ1" s="2" t="s">
        <v>50</v>
      </c>
      <c r="BA1" s="1" t="s">
        <v>51</v>
      </c>
      <c r="BB1" s="3" t="s">
        <v>52</v>
      </c>
      <c r="BC1" s="2" t="s">
        <v>53</v>
      </c>
      <c r="BD1" s="3" t="s">
        <v>54</v>
      </c>
      <c r="BE1" s="2" t="s">
        <v>55</v>
      </c>
      <c r="BF1" s="3" t="s">
        <v>56</v>
      </c>
      <c r="BG1" s="2" t="s">
        <v>57</v>
      </c>
      <c r="BH1" s="3" t="s">
        <v>58</v>
      </c>
      <c r="BI1" s="2" t="s">
        <v>59</v>
      </c>
      <c r="BJ1" s="2" t="s">
        <v>60</v>
      </c>
      <c r="BK1" s="1" t="s">
        <v>61</v>
      </c>
      <c r="BL1" s="3" t="s">
        <v>62</v>
      </c>
      <c r="BM1" s="2" t="s">
        <v>63</v>
      </c>
      <c r="BN1" s="3" t="s">
        <v>64</v>
      </c>
      <c r="BO1" s="2" t="s">
        <v>65</v>
      </c>
      <c r="BP1" s="2" t="s">
        <v>66</v>
      </c>
      <c r="BQ1" s="1" t="s">
        <v>67</v>
      </c>
      <c r="BR1" s="3" t="s">
        <v>68</v>
      </c>
      <c r="BS1" s="2" t="s">
        <v>69</v>
      </c>
      <c r="BT1" s="3" t="s">
        <v>70</v>
      </c>
      <c r="BU1" s="2" t="s">
        <v>71</v>
      </c>
      <c r="BV1" s="3" t="s">
        <v>72</v>
      </c>
      <c r="BW1" s="2" t="s">
        <v>73</v>
      </c>
      <c r="BX1" s="3" t="s">
        <v>74</v>
      </c>
      <c r="BY1" s="2" t="s">
        <v>75</v>
      </c>
      <c r="BZ1" s="3" t="s">
        <v>76</v>
      </c>
    </row>
    <row r="2" spans="1:78" ht="16" x14ac:dyDescent="0.4">
      <c r="A2" t="s">
        <v>77</v>
      </c>
      <c r="B2" s="6">
        <v>1</v>
      </c>
      <c r="C2" s="7"/>
      <c r="D2" s="7"/>
      <c r="E2" s="8"/>
      <c r="F2" s="8"/>
      <c r="G2" s="8"/>
      <c r="H2" s="8"/>
      <c r="I2" s="8"/>
      <c r="J2" s="9"/>
      <c r="K2" s="8"/>
      <c r="L2" s="8"/>
      <c r="M2" s="10"/>
      <c r="N2" s="11"/>
      <c r="O2">
        <v>63</v>
      </c>
      <c r="P2" s="21"/>
      <c r="Q2">
        <v>833</v>
      </c>
      <c r="R2" s="6"/>
      <c r="S2">
        <v>55</v>
      </c>
      <c r="T2" s="6"/>
      <c r="U2">
        <v>2</v>
      </c>
      <c r="V2" s="13"/>
      <c r="W2" s="8">
        <v>0.13700000000000001</v>
      </c>
      <c r="X2" s="14"/>
      <c r="Y2">
        <v>39</v>
      </c>
      <c r="Z2" s="6"/>
      <c r="AA2"/>
      <c r="AB2" s="21"/>
      <c r="AC2"/>
      <c r="AD2" s="13"/>
      <c r="AE2" s="6"/>
      <c r="AF2" s="6"/>
      <c r="AG2">
        <v>390</v>
      </c>
      <c r="AH2" s="13"/>
      <c r="AI2" s="6"/>
      <c r="AJ2" s="6"/>
      <c r="AK2" s="15"/>
      <c r="AL2" s="13"/>
      <c r="AM2"/>
      <c r="AN2" s="13"/>
      <c r="AO2" s="6"/>
      <c r="AP2" s="6"/>
      <c r="AQ2" s="15"/>
      <c r="AR2" s="13"/>
      <c r="AS2" s="15"/>
      <c r="AT2" s="13"/>
      <c r="AU2" s="15"/>
      <c r="AV2" s="13"/>
      <c r="AW2" s="15"/>
      <c r="AX2" s="13"/>
      <c r="AY2" s="8"/>
      <c r="BA2" s="17"/>
      <c r="BB2" s="18"/>
      <c r="BC2" s="7"/>
      <c r="BD2" s="7"/>
      <c r="BE2" s="15"/>
      <c r="BF2" s="13"/>
      <c r="BG2" s="15"/>
      <c r="BH2" s="13"/>
      <c r="BI2" s="6"/>
      <c r="BJ2" s="6"/>
      <c r="BK2" s="15"/>
      <c r="BL2" s="13"/>
      <c r="BM2" s="15"/>
      <c r="BN2" s="13"/>
      <c r="BO2" s="6"/>
      <c r="BP2" s="6"/>
      <c r="BQ2" s="32">
        <v>0.70382999999999996</v>
      </c>
      <c r="BR2" s="13"/>
      <c r="BS2" s="15"/>
      <c r="BT2" s="13"/>
      <c r="BU2" s="15"/>
      <c r="BV2" s="13"/>
      <c r="BW2" s="17"/>
      <c r="BX2" s="13"/>
      <c r="BY2" s="20"/>
      <c r="BZ2" s="13"/>
    </row>
    <row r="3" spans="1:78" ht="16" x14ac:dyDescent="0.4">
      <c r="A3" t="s">
        <v>78</v>
      </c>
      <c r="B3" s="6">
        <v>2</v>
      </c>
      <c r="C3" s="7"/>
      <c r="D3" s="7"/>
      <c r="E3" s="8"/>
      <c r="F3" s="8"/>
      <c r="G3" s="8"/>
      <c r="H3" s="8"/>
      <c r="I3" s="8"/>
      <c r="J3" s="9"/>
      <c r="K3" s="8"/>
      <c r="L3" s="8"/>
      <c r="M3" s="10"/>
      <c r="N3" s="11"/>
      <c r="O3">
        <v>500</v>
      </c>
      <c r="P3" s="21"/>
      <c r="Q3">
        <v>612</v>
      </c>
      <c r="R3" s="6"/>
      <c r="S3">
        <v>358</v>
      </c>
      <c r="T3" s="6"/>
      <c r="U3">
        <v>10</v>
      </c>
      <c r="V3" s="13"/>
      <c r="W3" s="8">
        <v>0.6</v>
      </c>
      <c r="X3" s="14"/>
      <c r="Y3">
        <v>41</v>
      </c>
      <c r="Z3" s="6"/>
      <c r="AA3"/>
      <c r="AB3" s="21"/>
      <c r="AC3"/>
      <c r="AD3" s="13"/>
      <c r="AE3" s="6"/>
      <c r="AF3" s="6"/>
      <c r="AG3">
        <v>632</v>
      </c>
      <c r="AH3" s="13"/>
      <c r="AI3" s="6"/>
      <c r="AJ3" s="6"/>
      <c r="AK3" s="15"/>
      <c r="AL3" s="13"/>
      <c r="AM3"/>
      <c r="AN3" s="13"/>
      <c r="AO3" s="6"/>
      <c r="AP3" s="6"/>
      <c r="AQ3" s="15"/>
      <c r="AR3" s="13"/>
      <c r="AS3" s="15"/>
      <c r="AT3" s="13"/>
      <c r="AU3" s="15"/>
      <c r="AV3" s="13"/>
      <c r="AW3" s="15"/>
      <c r="AX3" s="13"/>
      <c r="AY3" s="8"/>
      <c r="BA3" s="17"/>
      <c r="BB3" s="18"/>
      <c r="BC3" s="7"/>
      <c r="BD3" s="7"/>
      <c r="BE3" s="15"/>
      <c r="BF3" s="13"/>
      <c r="BG3" s="15"/>
      <c r="BH3" s="13"/>
      <c r="BI3" s="6"/>
      <c r="BJ3" s="6"/>
      <c r="BK3" s="15"/>
      <c r="BL3" s="13"/>
      <c r="BM3" s="15"/>
      <c r="BN3" s="13"/>
      <c r="BO3" s="6"/>
      <c r="BP3" s="6"/>
      <c r="BQ3" s="32">
        <v>0.70433000000000001</v>
      </c>
      <c r="BR3" s="13"/>
      <c r="BS3" s="15"/>
      <c r="BT3" s="13"/>
      <c r="BU3" s="15"/>
      <c r="BV3" s="13"/>
      <c r="BW3" s="17"/>
      <c r="BX3" s="13"/>
      <c r="BY3" s="20"/>
      <c r="BZ3" s="13"/>
    </row>
    <row r="4" spans="1:78" ht="16" x14ac:dyDescent="0.4">
      <c r="A4" t="s">
        <v>79</v>
      </c>
      <c r="B4" s="6">
        <v>3</v>
      </c>
      <c r="C4" s="7"/>
      <c r="D4" s="7"/>
      <c r="E4" s="8"/>
      <c r="F4" s="8"/>
      <c r="G4" s="8"/>
      <c r="H4" s="8"/>
      <c r="I4" s="8"/>
      <c r="J4" s="9"/>
      <c r="K4" s="8"/>
      <c r="L4" s="8"/>
      <c r="M4" s="10"/>
      <c r="N4" s="22"/>
      <c r="O4">
        <v>460</v>
      </c>
      <c r="P4" s="23"/>
      <c r="Q4">
        <v>842</v>
      </c>
      <c r="R4" s="6"/>
      <c r="S4">
        <v>213</v>
      </c>
      <c r="T4" s="6"/>
      <c r="U4">
        <v>5</v>
      </c>
      <c r="V4" s="13"/>
      <c r="W4" s="8">
        <v>0.42299999999999999</v>
      </c>
      <c r="X4" s="14"/>
      <c r="Y4">
        <v>33</v>
      </c>
      <c r="Z4" s="6"/>
      <c r="AA4"/>
      <c r="AB4" s="21"/>
      <c r="AC4"/>
      <c r="AD4" s="13"/>
      <c r="AE4" s="6"/>
      <c r="AF4" s="6"/>
      <c r="AG4">
        <v>603</v>
      </c>
      <c r="AH4" s="13"/>
      <c r="AI4" s="6"/>
      <c r="AJ4" s="6"/>
      <c r="AK4" s="15"/>
      <c r="AL4" s="13"/>
      <c r="AM4"/>
      <c r="AN4" s="13"/>
      <c r="AO4" s="6"/>
      <c r="AP4" s="6"/>
      <c r="AQ4" s="15"/>
      <c r="AR4" s="13"/>
      <c r="AS4" s="15"/>
      <c r="AT4" s="13"/>
      <c r="AU4" s="15"/>
      <c r="AV4" s="13"/>
      <c r="AW4" s="15"/>
      <c r="AX4" s="13"/>
      <c r="AY4" s="8"/>
      <c r="BA4" s="17"/>
      <c r="BB4" s="18"/>
      <c r="BC4" s="7"/>
      <c r="BD4" s="7"/>
      <c r="BE4" s="15"/>
      <c r="BF4" s="13"/>
      <c r="BG4" s="15"/>
      <c r="BH4" s="13"/>
      <c r="BI4" s="6"/>
      <c r="BJ4" s="6"/>
      <c r="BK4" s="15"/>
      <c r="BL4" s="13"/>
      <c r="BM4" s="15"/>
      <c r="BN4" s="13"/>
      <c r="BO4" s="6"/>
      <c r="BP4" s="6"/>
      <c r="BQ4" s="32">
        <v>0.70394000000000001</v>
      </c>
      <c r="BR4" s="13"/>
      <c r="BS4" s="15"/>
      <c r="BT4" s="13"/>
      <c r="BU4" s="15"/>
      <c r="BV4" s="13"/>
      <c r="BW4" s="17"/>
      <c r="BX4" s="13"/>
      <c r="BY4" s="20"/>
      <c r="BZ4" s="13"/>
    </row>
    <row r="5" spans="1:78" ht="16" x14ac:dyDescent="0.4">
      <c r="A5" t="s">
        <v>80</v>
      </c>
      <c r="B5" s="6">
        <v>4</v>
      </c>
      <c r="C5" s="7"/>
      <c r="D5" s="7"/>
      <c r="E5" s="8"/>
      <c r="F5" s="8"/>
      <c r="G5" s="8"/>
      <c r="H5" s="8"/>
      <c r="I5" s="8"/>
      <c r="J5" s="9"/>
      <c r="K5" s="8"/>
      <c r="L5" s="8"/>
      <c r="M5" s="10"/>
      <c r="N5" s="22"/>
      <c r="O5">
        <v>546</v>
      </c>
      <c r="P5" s="21"/>
      <c r="Q5">
        <v>792</v>
      </c>
      <c r="R5" s="6"/>
      <c r="S5">
        <v>203</v>
      </c>
      <c r="T5" s="6"/>
      <c r="U5">
        <v>7</v>
      </c>
      <c r="V5" s="13"/>
      <c r="W5" s="8">
        <v>0.46700000000000003</v>
      </c>
      <c r="X5" s="14"/>
      <c r="Y5">
        <v>40</v>
      </c>
      <c r="Z5" s="6"/>
      <c r="AA5"/>
      <c r="AB5" s="21"/>
      <c r="AC5"/>
      <c r="AD5" s="13"/>
      <c r="AE5" s="6"/>
      <c r="AF5" s="6"/>
      <c r="AG5">
        <v>552</v>
      </c>
      <c r="AH5" s="13"/>
      <c r="AI5" s="6"/>
      <c r="AJ5" s="6"/>
      <c r="AK5" s="15"/>
      <c r="AL5" s="13"/>
      <c r="AM5"/>
      <c r="AN5" s="13"/>
      <c r="AO5" s="6"/>
      <c r="AP5" s="6"/>
      <c r="AQ5" s="15"/>
      <c r="AR5" s="13"/>
      <c r="AS5" s="15"/>
      <c r="AT5" s="13"/>
      <c r="AU5" s="15"/>
      <c r="AV5" s="13"/>
      <c r="AW5" s="15"/>
      <c r="AX5" s="13"/>
      <c r="AY5" s="8"/>
      <c r="BA5" s="17"/>
      <c r="BB5" s="18"/>
      <c r="BC5" s="7"/>
      <c r="BD5" s="7"/>
      <c r="BE5" s="15"/>
      <c r="BF5" s="13"/>
      <c r="BG5" s="15"/>
      <c r="BH5" s="13"/>
      <c r="BI5" s="6"/>
      <c r="BJ5" s="6"/>
      <c r="BK5" s="15"/>
      <c r="BL5" s="13"/>
      <c r="BM5" s="15"/>
      <c r="BN5" s="13"/>
      <c r="BO5" s="6"/>
      <c r="BP5" s="6"/>
      <c r="BQ5" s="32">
        <v>0.70381000000000005</v>
      </c>
      <c r="BR5" s="13"/>
      <c r="BS5" s="15"/>
      <c r="BT5" s="13"/>
      <c r="BU5" s="15"/>
      <c r="BV5" s="13"/>
      <c r="BW5" s="17"/>
      <c r="BX5" s="13"/>
      <c r="BY5" s="20"/>
      <c r="BZ5" s="13"/>
    </row>
    <row r="6" spans="1:78" ht="16" x14ac:dyDescent="0.4">
      <c r="A6" t="s">
        <v>81</v>
      </c>
      <c r="B6" s="6">
        <v>5</v>
      </c>
      <c r="C6" s="24"/>
      <c r="D6" s="24"/>
      <c r="E6" s="8"/>
      <c r="F6" s="8"/>
      <c r="G6" s="8"/>
      <c r="H6" s="8"/>
      <c r="I6" s="8"/>
      <c r="J6" s="9"/>
      <c r="K6" s="8"/>
      <c r="L6" s="8"/>
      <c r="M6" s="10"/>
      <c r="N6" s="22"/>
      <c r="O6">
        <v>698</v>
      </c>
      <c r="P6" s="21"/>
      <c r="Q6">
        <v>1000</v>
      </c>
      <c r="R6" s="6"/>
      <c r="S6">
        <v>294</v>
      </c>
      <c r="T6" s="6"/>
      <c r="U6">
        <v>5</v>
      </c>
      <c r="V6" s="13"/>
      <c r="W6" s="8">
        <v>0.46899999999999997</v>
      </c>
      <c r="X6" s="14"/>
      <c r="Y6">
        <v>50</v>
      </c>
      <c r="Z6" s="6"/>
      <c r="AA6"/>
      <c r="AB6" s="21"/>
      <c r="AC6"/>
      <c r="AD6" s="13"/>
      <c r="AE6" s="6"/>
      <c r="AF6" s="6"/>
      <c r="AG6">
        <v>885</v>
      </c>
      <c r="AH6" s="13"/>
      <c r="AI6" s="6"/>
      <c r="AJ6" s="6"/>
      <c r="AK6" s="15"/>
      <c r="AL6" s="13"/>
      <c r="AM6"/>
      <c r="AN6" s="13"/>
      <c r="AO6" s="6"/>
      <c r="AP6" s="6"/>
      <c r="AQ6" s="15"/>
      <c r="AR6" s="13"/>
      <c r="AS6" s="15"/>
      <c r="AT6" s="13"/>
      <c r="AU6" s="15"/>
      <c r="AV6" s="13"/>
      <c r="AW6" s="15"/>
      <c r="AX6" s="13"/>
      <c r="AY6" s="8"/>
      <c r="BA6" s="25"/>
      <c r="BB6" s="26"/>
      <c r="BC6" s="27"/>
      <c r="BD6" s="27"/>
      <c r="BE6" s="15"/>
      <c r="BF6" s="13"/>
      <c r="BG6" s="15"/>
      <c r="BH6" s="13"/>
      <c r="BI6" s="6"/>
      <c r="BJ6" s="6"/>
      <c r="BK6" s="15"/>
      <c r="BL6" s="13"/>
      <c r="BM6" s="15"/>
      <c r="BN6" s="13"/>
      <c r="BO6" s="6"/>
      <c r="BP6" s="6"/>
      <c r="BQ6" s="32">
        <v>0.70433000000000001</v>
      </c>
      <c r="BR6" s="13"/>
      <c r="BS6" s="15"/>
      <c r="BT6" s="13"/>
      <c r="BU6" s="15"/>
      <c r="BV6" s="13"/>
      <c r="BW6" s="17"/>
      <c r="BX6" s="13"/>
      <c r="BY6" s="20"/>
      <c r="BZ6" s="13"/>
    </row>
    <row r="7" spans="1:78" ht="16" x14ac:dyDescent="0.4">
      <c r="A7" t="s">
        <v>80</v>
      </c>
      <c r="B7" s="6">
        <v>6</v>
      </c>
      <c r="C7" s="7"/>
      <c r="D7" s="7"/>
      <c r="E7" s="8"/>
      <c r="F7" s="8"/>
      <c r="G7" s="8"/>
      <c r="H7" s="8"/>
      <c r="I7" s="8"/>
      <c r="J7" s="9"/>
      <c r="K7" s="8"/>
      <c r="L7" s="8"/>
      <c r="M7" s="10"/>
      <c r="N7" s="22"/>
      <c r="O7">
        <v>589</v>
      </c>
      <c r="P7" s="12"/>
      <c r="Q7">
        <v>837</v>
      </c>
      <c r="R7" s="6"/>
      <c r="S7">
        <v>206</v>
      </c>
      <c r="T7" s="6"/>
      <c r="U7">
        <v>4</v>
      </c>
      <c r="V7" s="13"/>
      <c r="W7" s="8">
        <v>0.46400000000000002</v>
      </c>
      <c r="X7" s="14"/>
      <c r="Y7">
        <v>29</v>
      </c>
      <c r="Z7" s="6"/>
      <c r="AA7"/>
      <c r="AB7" s="12"/>
      <c r="AC7"/>
      <c r="AD7" s="13"/>
      <c r="AE7" s="6"/>
      <c r="AF7" s="6"/>
      <c r="AG7">
        <v>605</v>
      </c>
      <c r="AH7" s="13"/>
      <c r="AI7" s="6"/>
      <c r="AJ7" s="6"/>
      <c r="AK7" s="15"/>
      <c r="AL7" s="13"/>
      <c r="AM7"/>
      <c r="AN7" s="13"/>
      <c r="AO7" s="6"/>
      <c r="AP7" s="6"/>
      <c r="AQ7" s="15"/>
      <c r="AR7" s="13"/>
      <c r="AS7" s="15"/>
      <c r="AT7" s="13"/>
      <c r="AU7" s="15"/>
      <c r="AV7" s="13"/>
      <c r="AW7" s="15"/>
      <c r="AX7" s="13"/>
      <c r="AY7" s="8"/>
      <c r="BA7" s="25"/>
      <c r="BB7" s="26"/>
      <c r="BC7" s="27"/>
      <c r="BD7" s="27"/>
      <c r="BE7" s="15"/>
      <c r="BF7" s="13"/>
      <c r="BG7" s="15"/>
      <c r="BH7" s="13"/>
      <c r="BI7" s="6"/>
      <c r="BJ7" s="6"/>
      <c r="BK7" s="15"/>
      <c r="BL7" s="13"/>
      <c r="BM7" s="15"/>
      <c r="BN7" s="13"/>
      <c r="BO7" s="6"/>
      <c r="BP7" s="6"/>
      <c r="BQ7" s="32">
        <v>0.70382999999999996</v>
      </c>
      <c r="BR7" s="13"/>
      <c r="BS7" s="15"/>
      <c r="BT7" s="13"/>
      <c r="BU7" s="15"/>
      <c r="BV7" s="13"/>
      <c r="BW7" s="17"/>
      <c r="BX7" s="13"/>
      <c r="BY7" s="20"/>
      <c r="BZ7" s="13"/>
    </row>
    <row r="8" spans="1:78" ht="16" x14ac:dyDescent="0.4">
      <c r="A8" t="s">
        <v>80</v>
      </c>
      <c r="B8" s="6">
        <v>7</v>
      </c>
      <c r="C8" s="7"/>
      <c r="D8" s="7"/>
      <c r="E8" s="8"/>
      <c r="F8" s="8"/>
      <c r="G8" s="8"/>
      <c r="H8" s="8"/>
      <c r="I8" s="8"/>
      <c r="J8" s="9"/>
      <c r="K8" s="8"/>
      <c r="L8" s="8"/>
      <c r="M8" s="10"/>
      <c r="N8" s="22"/>
      <c r="O8">
        <v>581</v>
      </c>
      <c r="P8" s="12"/>
      <c r="Q8">
        <v>842</v>
      </c>
      <c r="R8" s="6"/>
      <c r="S8">
        <v>191</v>
      </c>
      <c r="T8" s="6"/>
      <c r="U8">
        <v>3</v>
      </c>
      <c r="V8" s="13"/>
      <c r="W8" s="8">
        <v>0.46200000000000002</v>
      </c>
      <c r="X8" s="14"/>
      <c r="Y8">
        <v>23</v>
      </c>
      <c r="Z8" s="6"/>
      <c r="AA8"/>
      <c r="AB8" s="12"/>
      <c r="AC8"/>
      <c r="AD8" s="13"/>
      <c r="AE8" s="6"/>
      <c r="AF8" s="6"/>
      <c r="AG8">
        <v>614</v>
      </c>
      <c r="AH8" s="13"/>
      <c r="AI8" s="6"/>
      <c r="AJ8" s="6"/>
      <c r="AK8" s="15"/>
      <c r="AL8" s="13"/>
      <c r="AM8"/>
      <c r="AN8" s="13"/>
      <c r="AO8" s="6"/>
      <c r="AP8" s="6"/>
      <c r="AQ8" s="15"/>
      <c r="AR8" s="13"/>
      <c r="AS8" s="15"/>
      <c r="AT8" s="13"/>
      <c r="AU8" s="15"/>
      <c r="AV8" s="13"/>
      <c r="AW8" s="15"/>
      <c r="AX8" s="13"/>
      <c r="AY8" s="8"/>
      <c r="BA8" s="25"/>
      <c r="BB8" s="26"/>
      <c r="BC8" s="27"/>
      <c r="BD8" s="27"/>
      <c r="BE8" s="15"/>
      <c r="BF8" s="13"/>
      <c r="BG8" s="15"/>
      <c r="BH8" s="13"/>
      <c r="BI8" s="6"/>
      <c r="BJ8" s="6"/>
      <c r="BK8" s="15"/>
      <c r="BL8" s="13"/>
      <c r="BM8" s="15"/>
      <c r="BN8" s="13"/>
      <c r="BO8" s="6"/>
      <c r="BP8" s="6"/>
      <c r="BQ8" s="32">
        <v>0.70377000000000001</v>
      </c>
      <c r="BR8" s="13"/>
      <c r="BS8" s="15"/>
      <c r="BT8" s="13"/>
      <c r="BU8" s="15"/>
      <c r="BV8" s="13"/>
      <c r="BW8" s="17"/>
      <c r="BX8" s="13"/>
      <c r="BY8" s="20"/>
      <c r="BZ8" s="13"/>
    </row>
    <row r="9" spans="1:78" ht="16" x14ac:dyDescent="0.4">
      <c r="A9" t="s">
        <v>77</v>
      </c>
      <c r="B9" s="6">
        <v>8</v>
      </c>
      <c r="C9" s="7"/>
      <c r="D9" s="7"/>
      <c r="E9" s="8"/>
      <c r="F9" s="8"/>
      <c r="G9" s="8"/>
      <c r="H9" s="8"/>
      <c r="I9" s="8"/>
      <c r="J9" s="9"/>
      <c r="K9" s="8"/>
      <c r="L9" s="8"/>
      <c r="M9" s="10"/>
      <c r="N9" s="22"/>
      <c r="O9">
        <v>44</v>
      </c>
      <c r="P9" s="21"/>
      <c r="Q9">
        <v>850</v>
      </c>
      <c r="R9" s="6"/>
      <c r="S9">
        <v>51</v>
      </c>
      <c r="T9" s="6"/>
      <c r="U9">
        <v>0</v>
      </c>
      <c r="V9" s="13"/>
      <c r="W9" s="8">
        <v>6.0999999999999999E-2</v>
      </c>
      <c r="X9" s="14"/>
      <c r="Y9">
        <v>41</v>
      </c>
      <c r="Z9" s="6"/>
      <c r="AA9"/>
      <c r="AB9" s="21"/>
      <c r="AC9"/>
      <c r="AD9" s="13"/>
      <c r="AE9" s="6"/>
      <c r="AF9" s="6"/>
      <c r="AG9">
        <v>421</v>
      </c>
      <c r="AH9" s="13"/>
      <c r="AI9" s="6"/>
      <c r="AJ9" s="6"/>
      <c r="AK9" s="15"/>
      <c r="AL9" s="13"/>
      <c r="AM9"/>
      <c r="AN9" s="13"/>
      <c r="AO9" s="6"/>
      <c r="AP9" s="6"/>
      <c r="AQ9" s="15"/>
      <c r="AR9" s="13"/>
      <c r="AS9" s="15"/>
      <c r="AT9" s="13"/>
      <c r="AU9" s="15"/>
      <c r="AV9" s="13"/>
      <c r="AW9" s="15"/>
      <c r="AX9" s="13"/>
      <c r="AY9" s="8"/>
      <c r="BA9" s="17"/>
      <c r="BB9" s="18"/>
      <c r="BC9" s="7"/>
      <c r="BD9" s="7"/>
      <c r="BE9" s="15"/>
      <c r="BF9" s="13"/>
      <c r="BG9" s="15"/>
      <c r="BH9" s="13"/>
      <c r="BI9" s="6"/>
      <c r="BJ9" s="6"/>
      <c r="BK9" s="15"/>
      <c r="BL9" s="13"/>
      <c r="BM9" s="15"/>
      <c r="BN9" s="13"/>
      <c r="BO9" s="6"/>
      <c r="BP9" s="6"/>
      <c r="BQ9" s="32">
        <v>0.70487999999999995</v>
      </c>
      <c r="BR9" s="13"/>
      <c r="BS9" s="15"/>
      <c r="BT9" s="13"/>
      <c r="BU9" s="15"/>
      <c r="BV9" s="13"/>
      <c r="BW9" s="17"/>
      <c r="BX9" s="13"/>
      <c r="BY9" s="20"/>
      <c r="BZ9" s="13"/>
    </row>
    <row r="10" spans="1:78" ht="16" x14ac:dyDescent="0.4">
      <c r="A10" t="s">
        <v>77</v>
      </c>
      <c r="B10" s="6">
        <v>9</v>
      </c>
      <c r="C10" s="7"/>
      <c r="D10" s="7"/>
      <c r="E10" s="8"/>
      <c r="F10" s="8"/>
      <c r="G10" s="8"/>
      <c r="H10" s="8"/>
      <c r="I10" s="8"/>
      <c r="J10" s="9"/>
      <c r="K10" s="8"/>
      <c r="L10" s="8"/>
      <c r="M10" s="10"/>
      <c r="N10" s="22"/>
      <c r="O10">
        <v>53</v>
      </c>
      <c r="P10" s="21"/>
      <c r="Q10">
        <v>1291</v>
      </c>
      <c r="R10" s="6"/>
      <c r="S10">
        <v>55</v>
      </c>
      <c r="T10" s="6"/>
      <c r="U10">
        <v>0</v>
      </c>
      <c r="V10" s="13"/>
      <c r="W10" s="8">
        <v>7.1999999999999995E-2</v>
      </c>
      <c r="X10" s="14"/>
      <c r="Y10">
        <v>38</v>
      </c>
      <c r="Z10" s="6"/>
      <c r="AA10"/>
      <c r="AB10" s="21"/>
      <c r="AC10"/>
      <c r="AD10" s="13"/>
      <c r="AE10" s="6"/>
      <c r="AF10" s="6"/>
      <c r="AG10">
        <v>729</v>
      </c>
      <c r="AH10" s="13"/>
      <c r="AI10" s="6"/>
      <c r="AJ10" s="6"/>
      <c r="AK10" s="15"/>
      <c r="AL10" s="13"/>
      <c r="AM10"/>
      <c r="AN10" s="13"/>
      <c r="AO10" s="6"/>
      <c r="AP10" s="6"/>
      <c r="AQ10" s="15"/>
      <c r="AR10" s="13"/>
      <c r="AS10" s="15"/>
      <c r="AT10" s="13"/>
      <c r="AU10" s="15"/>
      <c r="AV10" s="13"/>
      <c r="AW10" s="15"/>
      <c r="AX10" s="13"/>
      <c r="AY10" s="8"/>
      <c r="BA10" s="17"/>
      <c r="BB10" s="18"/>
      <c r="BC10" s="7"/>
      <c r="BD10" s="7"/>
      <c r="BE10" s="15"/>
      <c r="BF10" s="13"/>
      <c r="BG10" s="15"/>
      <c r="BH10" s="13"/>
      <c r="BI10" s="6"/>
      <c r="BJ10" s="6"/>
      <c r="BK10" s="15"/>
      <c r="BL10" s="13"/>
      <c r="BM10" s="15"/>
      <c r="BN10" s="13"/>
      <c r="BO10" s="6"/>
      <c r="BP10" s="6"/>
      <c r="BQ10" s="32">
        <v>0.70526999999999995</v>
      </c>
      <c r="BR10" s="13"/>
      <c r="BS10" s="15"/>
      <c r="BT10" s="13"/>
      <c r="BU10" s="15"/>
      <c r="BV10" s="13"/>
      <c r="BW10" s="17"/>
      <c r="BX10" s="13"/>
      <c r="BY10" s="20"/>
      <c r="BZ10" s="13"/>
    </row>
    <row r="11" spans="1:78" ht="16" x14ac:dyDescent="0.4">
      <c r="A11" t="s">
        <v>82</v>
      </c>
      <c r="B11" s="6">
        <v>10</v>
      </c>
      <c r="C11" s="7"/>
      <c r="D11" s="7"/>
      <c r="E11" s="8"/>
      <c r="F11" s="8"/>
      <c r="G11" s="8"/>
      <c r="H11" s="8"/>
      <c r="I11" s="8"/>
      <c r="J11" s="9"/>
      <c r="K11" s="8"/>
      <c r="L11" s="8"/>
      <c r="M11" s="10"/>
      <c r="N11" s="22"/>
      <c r="O11">
        <v>481.21163730725084</v>
      </c>
      <c r="P11" s="21"/>
      <c r="Q11">
        <v>580.04525817732986</v>
      </c>
      <c r="R11" s="6"/>
      <c r="S11">
        <v>326.75404437513049</v>
      </c>
      <c r="T11" s="6"/>
      <c r="U11">
        <v>25.128969801756085</v>
      </c>
      <c r="V11" s="13"/>
      <c r="W11" s="8"/>
      <c r="X11" s="14"/>
      <c r="Y11">
        <v>57.258906157447875</v>
      </c>
      <c r="Z11" s="6"/>
      <c r="AA11"/>
      <c r="AB11" s="21"/>
      <c r="AC11"/>
      <c r="AD11" s="13"/>
      <c r="AE11" s="6"/>
      <c r="AF11" s="6"/>
      <c r="AG11">
        <v>526.63343421755383</v>
      </c>
      <c r="AH11" s="13"/>
      <c r="AI11" s="6"/>
      <c r="AJ11" s="6"/>
      <c r="AK11" s="15"/>
      <c r="AL11" s="13"/>
      <c r="AM11"/>
      <c r="AN11" s="13"/>
      <c r="AO11" s="6"/>
      <c r="AP11" s="6"/>
      <c r="AQ11" s="15"/>
      <c r="AR11" s="13"/>
      <c r="AS11" s="15"/>
      <c r="AT11" s="13"/>
      <c r="AU11" s="15"/>
      <c r="AV11" s="13"/>
      <c r="AW11" s="15"/>
      <c r="AX11" s="13"/>
      <c r="AY11" s="8"/>
      <c r="BA11" s="17"/>
      <c r="BB11" s="18"/>
      <c r="BC11" s="7"/>
      <c r="BD11" s="7"/>
      <c r="BE11" s="15"/>
      <c r="BF11" s="13"/>
      <c r="BG11" s="15"/>
      <c r="BH11" s="13"/>
      <c r="BI11" s="6"/>
      <c r="BJ11" s="6"/>
      <c r="BK11" s="15"/>
      <c r="BL11" s="13"/>
      <c r="BM11" s="15"/>
      <c r="BN11" s="13"/>
      <c r="BO11" s="6"/>
      <c r="BP11" s="6"/>
      <c r="BQ11" s="32">
        <v>0.70442276800000003</v>
      </c>
      <c r="BR11" s="13"/>
      <c r="BS11" s="15"/>
      <c r="BT11" s="13"/>
      <c r="BU11" s="15"/>
      <c r="BV11" s="13"/>
      <c r="BW11" s="17"/>
      <c r="BX11" s="13"/>
      <c r="BY11" s="20"/>
      <c r="BZ11" s="13"/>
    </row>
    <row r="12" spans="1:78" ht="16" x14ac:dyDescent="0.4">
      <c r="A12" t="s">
        <v>83</v>
      </c>
      <c r="B12" s="6">
        <v>11</v>
      </c>
      <c r="C12" s="7"/>
      <c r="D12" s="7"/>
      <c r="E12" s="8"/>
      <c r="F12" s="8"/>
      <c r="G12" s="8"/>
      <c r="H12" s="8"/>
      <c r="I12" s="8"/>
      <c r="J12" s="9"/>
      <c r="K12" s="8"/>
      <c r="L12" s="8"/>
      <c r="M12" s="10"/>
      <c r="N12" s="22"/>
      <c r="O12">
        <v>456.50980587853678</v>
      </c>
      <c r="P12" s="21"/>
      <c r="Q12">
        <v>571.56963587739153</v>
      </c>
      <c r="R12" s="6"/>
      <c r="S12">
        <v>297.64999999999998</v>
      </c>
      <c r="T12" s="6"/>
      <c r="U12">
        <v>20.537977354514137</v>
      </c>
      <c r="V12" s="13"/>
      <c r="W12" s="8">
        <v>0.49799309781644269</v>
      </c>
      <c r="X12" s="14"/>
      <c r="Y12">
        <v>36.104137872676496</v>
      </c>
      <c r="Z12" s="6"/>
      <c r="AA12"/>
      <c r="AB12" s="21"/>
      <c r="AC12"/>
      <c r="AD12" s="13"/>
      <c r="AE12" s="6"/>
      <c r="AF12" s="6"/>
      <c r="AG12">
        <v>561.90137083852585</v>
      </c>
      <c r="AH12" s="13"/>
      <c r="AI12" s="6"/>
      <c r="AJ12" s="6"/>
      <c r="AK12" s="15"/>
      <c r="AL12" s="13"/>
      <c r="AM12"/>
      <c r="AN12" s="13"/>
      <c r="AO12" s="6"/>
      <c r="AP12" s="6"/>
      <c r="AQ12" s="15"/>
      <c r="AR12" s="13"/>
      <c r="AS12" s="15"/>
      <c r="AT12" s="13"/>
      <c r="AU12" s="15"/>
      <c r="AV12" s="13"/>
      <c r="AW12" s="15"/>
      <c r="AX12" s="13"/>
      <c r="AY12" s="8"/>
      <c r="BA12" s="17"/>
      <c r="BB12" s="18"/>
      <c r="BC12" s="7"/>
      <c r="BD12" s="7"/>
      <c r="BE12" s="15"/>
      <c r="BF12" s="13"/>
      <c r="BG12" s="15"/>
      <c r="BH12" s="13"/>
      <c r="BI12" s="6"/>
      <c r="BJ12" s="6"/>
      <c r="BK12" s="15"/>
      <c r="BL12" s="13"/>
      <c r="BM12" s="15"/>
      <c r="BN12" s="13"/>
      <c r="BO12" s="6"/>
      <c r="BP12" s="6"/>
      <c r="BQ12" s="32">
        <v>0.704345</v>
      </c>
      <c r="BR12" s="13"/>
      <c r="BS12" s="15"/>
      <c r="BT12" s="13"/>
      <c r="BU12" s="15"/>
      <c r="BV12" s="13"/>
      <c r="BW12" s="17"/>
      <c r="BX12" s="13"/>
      <c r="BY12" s="20"/>
      <c r="BZ12" s="13"/>
    </row>
    <row r="13" spans="1:78" ht="16" x14ac:dyDescent="0.4">
      <c r="A13" t="s">
        <v>84</v>
      </c>
      <c r="B13" s="6">
        <v>12</v>
      </c>
      <c r="C13" s="7"/>
      <c r="D13" s="7"/>
      <c r="E13" s="8" t="s">
        <v>85</v>
      </c>
      <c r="F13" s="8"/>
      <c r="G13" s="8"/>
      <c r="H13" s="8"/>
      <c r="I13" s="8"/>
      <c r="J13" s="9"/>
      <c r="K13" s="8"/>
      <c r="L13" s="8"/>
      <c r="M13" s="10"/>
      <c r="N13" s="22"/>
      <c r="O13">
        <v>510.96611607365639</v>
      </c>
      <c r="P13" s="12"/>
      <c r="Q13">
        <v>894.1164369471303</v>
      </c>
      <c r="R13" s="6"/>
      <c r="S13">
        <v>258.27</v>
      </c>
      <c r="T13" s="6"/>
      <c r="U13">
        <v>20.742589831271435</v>
      </c>
      <c r="V13" s="13"/>
      <c r="W13" s="8">
        <v>0.74823499055421194</v>
      </c>
      <c r="X13" s="14"/>
      <c r="Y13">
        <v>94.632330127210665</v>
      </c>
      <c r="Z13" s="6"/>
      <c r="AA13"/>
      <c r="AB13" s="12"/>
      <c r="AC13"/>
      <c r="AD13" s="13"/>
      <c r="AE13" s="6"/>
      <c r="AF13" s="6"/>
      <c r="AG13">
        <v>453.4448994124977</v>
      </c>
      <c r="AH13" s="13"/>
      <c r="AI13" s="6"/>
      <c r="AJ13" s="6"/>
      <c r="AK13" s="15"/>
      <c r="AL13" s="13"/>
      <c r="AM13"/>
      <c r="AN13" s="13"/>
      <c r="AO13" s="6"/>
      <c r="AP13" s="6"/>
      <c r="AQ13" s="15"/>
      <c r="AR13" s="13"/>
      <c r="AS13" s="15"/>
      <c r="AT13" s="13"/>
      <c r="AU13" s="15"/>
      <c r="AV13" s="13"/>
      <c r="AW13" s="15"/>
      <c r="AX13" s="13"/>
      <c r="AY13" s="8"/>
      <c r="BA13" s="17"/>
      <c r="BB13" s="18"/>
      <c r="BC13" s="7"/>
      <c r="BD13" s="7"/>
      <c r="BE13" s="15"/>
      <c r="BF13" s="13"/>
      <c r="BG13" s="15"/>
      <c r="BH13" s="13"/>
      <c r="BI13" s="6"/>
      <c r="BJ13" s="6"/>
      <c r="BK13" s="15"/>
      <c r="BL13" s="13"/>
      <c r="BM13" s="15"/>
      <c r="BN13" s="13"/>
      <c r="BO13" s="6"/>
      <c r="BP13" s="6"/>
      <c r="BQ13" s="32">
        <v>0.704019175</v>
      </c>
      <c r="BR13" s="13"/>
      <c r="BS13" s="15"/>
      <c r="BT13" s="13"/>
      <c r="BU13" s="15"/>
      <c r="BV13" s="13"/>
      <c r="BW13" s="17"/>
      <c r="BX13" s="13"/>
      <c r="BY13" s="20"/>
      <c r="BZ13" s="13"/>
    </row>
    <row r="14" spans="1:78" ht="16" x14ac:dyDescent="0.4">
      <c r="A14" t="s">
        <v>86</v>
      </c>
      <c r="B14" s="6">
        <v>13</v>
      </c>
      <c r="C14" s="7"/>
      <c r="D14" s="7"/>
      <c r="E14" s="8"/>
      <c r="F14" s="8"/>
      <c r="G14" s="8"/>
      <c r="H14" s="8"/>
      <c r="I14" s="8"/>
      <c r="J14" s="9"/>
      <c r="K14" s="8"/>
      <c r="L14" s="8"/>
      <c r="M14" s="10"/>
      <c r="N14" s="22"/>
      <c r="O14">
        <v>560.43215729327801</v>
      </c>
      <c r="P14" s="12"/>
      <c r="Q14">
        <v>739.18946718782149</v>
      </c>
      <c r="R14" s="6"/>
      <c r="S14">
        <v>247.18</v>
      </c>
      <c r="T14" s="6"/>
      <c r="U14">
        <v>18.427911187954464</v>
      </c>
      <c r="V14" s="13"/>
      <c r="W14" s="8">
        <v>1.4106772229350513</v>
      </c>
      <c r="X14" s="14"/>
      <c r="Y14">
        <v>47.527712746453048</v>
      </c>
      <c r="Z14" s="6"/>
      <c r="AA14"/>
      <c r="AB14" s="12"/>
      <c r="AC14"/>
      <c r="AD14" s="13"/>
      <c r="AE14" s="6"/>
      <c r="AF14" s="6"/>
      <c r="AG14">
        <v>531.08420865230539</v>
      </c>
      <c r="AH14" s="13"/>
      <c r="AI14" s="6"/>
      <c r="AJ14" s="6"/>
      <c r="AK14" s="15"/>
      <c r="AL14" s="13"/>
      <c r="AM14"/>
      <c r="AN14" s="13"/>
      <c r="AO14" s="6"/>
      <c r="AP14" s="6"/>
      <c r="AQ14" s="15"/>
      <c r="AR14" s="13"/>
      <c r="AS14" s="15"/>
      <c r="AT14" s="13"/>
      <c r="AU14" s="15"/>
      <c r="AV14" s="13"/>
      <c r="AW14" s="15"/>
      <c r="AX14" s="13"/>
      <c r="AY14" s="8"/>
      <c r="BA14" s="17"/>
      <c r="BB14" s="18"/>
      <c r="BC14" s="7"/>
      <c r="BD14" s="7"/>
      <c r="BE14" s="15"/>
      <c r="BF14" s="13"/>
      <c r="BG14" s="15"/>
      <c r="BH14" s="13"/>
      <c r="BI14" s="6"/>
      <c r="BJ14" s="6"/>
      <c r="BK14" s="15"/>
      <c r="BL14" s="13"/>
      <c r="BM14" s="15"/>
      <c r="BN14" s="13"/>
      <c r="BO14" s="6"/>
      <c r="BP14" s="6"/>
      <c r="BQ14" s="32">
        <v>0.70392319800000003</v>
      </c>
      <c r="BR14" s="13"/>
      <c r="BS14" s="15"/>
      <c r="BT14" s="13"/>
      <c r="BU14" s="15"/>
      <c r="BV14" s="13"/>
      <c r="BW14" s="17"/>
      <c r="BX14" s="13"/>
      <c r="BY14" s="20"/>
      <c r="BZ14" s="13"/>
    </row>
    <row r="15" spans="1:78" x14ac:dyDescent="0.35">
      <c r="A15" t="s">
        <v>87</v>
      </c>
      <c r="B15" s="6">
        <v>14</v>
      </c>
      <c r="O15">
        <v>603.43580018963019</v>
      </c>
      <c r="Q15">
        <v>792.55297263937473</v>
      </c>
      <c r="S15">
        <v>216.23</v>
      </c>
      <c r="U15">
        <v>18.351181509170473</v>
      </c>
      <c r="W15" s="28">
        <v>0.39308601164900164</v>
      </c>
      <c r="Y15">
        <v>65.861845259921566</v>
      </c>
      <c r="AA15"/>
      <c r="AC15"/>
      <c r="AG15">
        <v>746.00320455759299</v>
      </c>
      <c r="AM15"/>
      <c r="BQ15" s="32">
        <v>0.70410499999999998</v>
      </c>
    </row>
    <row r="16" spans="1:78" x14ac:dyDescent="0.35">
      <c r="A16" t="s">
        <v>88</v>
      </c>
      <c r="B16" s="6">
        <v>15</v>
      </c>
      <c r="O16">
        <v>756.36259294375964</v>
      </c>
      <c r="Q16">
        <v>809.07220736473982</v>
      </c>
      <c r="S16">
        <v>389.63</v>
      </c>
      <c r="U16">
        <v>21.394792100935337</v>
      </c>
      <c r="W16" s="28">
        <v>0.60767026489152731</v>
      </c>
      <c r="Y16">
        <v>61.630891602967303</v>
      </c>
      <c r="AA16"/>
      <c r="AC16"/>
      <c r="AG16">
        <v>769.25405020473556</v>
      </c>
      <c r="AM16"/>
      <c r="BQ16" s="32">
        <v>0.70442257799999997</v>
      </c>
    </row>
    <row r="17" spans="1:69" x14ac:dyDescent="0.35">
      <c r="A17" t="s">
        <v>89</v>
      </c>
      <c r="B17" s="6">
        <v>16</v>
      </c>
      <c r="O17">
        <v>761.20315384999253</v>
      </c>
      <c r="Q17">
        <v>840.52664060892823</v>
      </c>
      <c r="S17">
        <v>297.68</v>
      </c>
      <c r="U17">
        <v>17.315330845586637</v>
      </c>
      <c r="W17" s="28">
        <v>0.59007900344531272</v>
      </c>
      <c r="Y17">
        <v>35.681042506981065</v>
      </c>
      <c r="AA17"/>
      <c r="AC17"/>
      <c r="AG17">
        <v>852.96421577354454</v>
      </c>
      <c r="AM17"/>
      <c r="BQ17" s="32">
        <v>0.70422951199999995</v>
      </c>
    </row>
    <row r="18" spans="1:69" x14ac:dyDescent="0.35">
      <c r="A18" t="s">
        <v>90</v>
      </c>
      <c r="B18" s="6">
        <v>17</v>
      </c>
      <c r="O18">
        <v>815.11053445780726</v>
      </c>
      <c r="Q18">
        <v>1766.2209421929645</v>
      </c>
      <c r="S18">
        <v>164.79</v>
      </c>
      <c r="U18">
        <v>20.947202308028736</v>
      </c>
      <c r="W18" s="28">
        <v>2.7711075324392564</v>
      </c>
      <c r="Y18">
        <v>101.54288776690265</v>
      </c>
      <c r="AA18"/>
      <c r="AC18"/>
      <c r="AG18">
        <v>597.02688267758572</v>
      </c>
      <c r="AM18"/>
      <c r="BQ18" s="32">
        <v>0.708656749474743</v>
      </c>
    </row>
    <row r="19" spans="1:69" x14ac:dyDescent="0.35">
      <c r="A19" t="s">
        <v>91</v>
      </c>
      <c r="B19" s="6">
        <v>18</v>
      </c>
      <c r="O19">
        <v>1058.7978442038025</v>
      </c>
      <c r="Q19">
        <v>1924.8302818350137</v>
      </c>
      <c r="S19">
        <v>142.16999999999999</v>
      </c>
      <c r="U19">
        <v>18.849924421266397</v>
      </c>
      <c r="W19" s="28">
        <v>5.9620045473956589</v>
      </c>
      <c r="Y19">
        <v>83.067723464868962</v>
      </c>
      <c r="AA19"/>
      <c r="AC19"/>
      <c r="AG19">
        <v>737.63574862025985</v>
      </c>
      <c r="AM19"/>
      <c r="BQ19" s="32">
        <v>0.70868399999999998</v>
      </c>
    </row>
    <row r="20" spans="1:69" x14ac:dyDescent="0.35">
      <c r="A20" t="s">
        <v>92</v>
      </c>
      <c r="B20" s="6">
        <v>19</v>
      </c>
      <c r="O20">
        <v>1001.9087778831278</v>
      </c>
      <c r="Q20">
        <v>1782.6578893231849</v>
      </c>
      <c r="S20">
        <v>124.71</v>
      </c>
      <c r="U20">
        <v>26.9704820925718</v>
      </c>
      <c r="W20" s="28">
        <v>2.9423079206497063</v>
      </c>
      <c r="Y20">
        <v>98.017093052774086</v>
      </c>
      <c r="AA20"/>
      <c r="AC20"/>
      <c r="AG20">
        <v>471.03435997863619</v>
      </c>
      <c r="AM20"/>
      <c r="BQ20" s="32">
        <v>0.70872299999999999</v>
      </c>
    </row>
    <row r="21" spans="1:69" x14ac:dyDescent="0.35">
      <c r="A21" s="30" t="s">
        <v>93</v>
      </c>
      <c r="B21" s="6">
        <v>20</v>
      </c>
      <c r="O21">
        <v>984.44283646888562</v>
      </c>
      <c r="Q21" s="28">
        <v>1789.7757663032301</v>
      </c>
      <c r="S21" s="28">
        <v>109.51</v>
      </c>
      <c r="U21" s="28">
        <v>15.934196627474851</v>
      </c>
      <c r="W21" s="28">
        <v>2.0491265183326486</v>
      </c>
      <c r="Y21" s="28">
        <v>92.939948664428954</v>
      </c>
      <c r="AG21" s="28">
        <v>663.78849919886056</v>
      </c>
      <c r="BQ21" s="32">
        <v>0.70865800000000001</v>
      </c>
    </row>
    <row r="22" spans="1:69" x14ac:dyDescent="0.35">
      <c r="A22" s="30" t="s">
        <v>94</v>
      </c>
      <c r="B22" s="6">
        <v>21</v>
      </c>
      <c r="O22">
        <v>60.943659863266625</v>
      </c>
      <c r="Q22" s="28">
        <v>1283.56305286978</v>
      </c>
      <c r="S22" s="28">
        <v>262.42</v>
      </c>
      <c r="U22" s="28">
        <v>18.530217426333113</v>
      </c>
      <c r="W22" s="28">
        <v>0.14716511026717941</v>
      </c>
      <c r="Y22" s="28">
        <v>263.87047640538174</v>
      </c>
      <c r="AG22" s="28">
        <v>474.55937333095955</v>
      </c>
      <c r="BQ22" s="32">
        <v>0.70696197332852695</v>
      </c>
    </row>
    <row r="23" spans="1:69" x14ac:dyDescent="0.35">
      <c r="A23" s="30" t="s">
        <v>95</v>
      </c>
      <c r="B23" s="6">
        <v>22</v>
      </c>
      <c r="O23">
        <v>233.69429612256098</v>
      </c>
      <c r="Q23" s="28">
        <v>995.92676404032102</v>
      </c>
      <c r="S23" s="28">
        <v>120.53</v>
      </c>
      <c r="U23" s="28">
        <v>16.535245777949424</v>
      </c>
      <c r="W23" s="28">
        <v>0.16069952726272255</v>
      </c>
      <c r="Y23" s="28">
        <v>52.040729980537606</v>
      </c>
      <c r="AG23" s="28">
        <v>487.96510592843151</v>
      </c>
      <c r="BQ23" s="32">
        <v>0.70499505900000003</v>
      </c>
    </row>
    <row r="24" spans="1:69" x14ac:dyDescent="0.35">
      <c r="A24" s="30" t="s">
        <v>96</v>
      </c>
      <c r="B24" s="6">
        <v>23</v>
      </c>
      <c r="O24">
        <v>226.80772493637406</v>
      </c>
      <c r="Q24" s="28">
        <v>684.42707261880287</v>
      </c>
      <c r="S24" s="28">
        <v>358.42</v>
      </c>
      <c r="U24" s="28">
        <v>140.54319497267144</v>
      </c>
      <c r="W24" s="28">
        <v>1.037538150883474</v>
      </c>
      <c r="Y24" s="28">
        <v>95.467672270329714</v>
      </c>
      <c r="AG24" s="28">
        <v>420.86523055011571</v>
      </c>
      <c r="BQ24" s="32">
        <v>0.70804864000000001</v>
      </c>
    </row>
    <row r="25" spans="1:69" x14ac:dyDescent="0.35">
      <c r="A25" s="30" t="s">
        <v>97</v>
      </c>
      <c r="B25" s="6">
        <v>24</v>
      </c>
      <c r="O25">
        <v>268.21448176056685</v>
      </c>
      <c r="Q25" s="28">
        <v>1023.6165398066244</v>
      </c>
      <c r="S25" s="28">
        <v>1505.02</v>
      </c>
      <c r="U25" s="28">
        <v>45.845983073432855</v>
      </c>
      <c r="W25" s="28">
        <v>0.9370723345738271</v>
      </c>
      <c r="Y25" s="28">
        <v>2321.665303359377</v>
      </c>
      <c r="AG25" s="28">
        <v>418.19476588926466</v>
      </c>
      <c r="BQ25" s="32">
        <v>0.70793399999999995</v>
      </c>
    </row>
    <row r="26" spans="1:69" x14ac:dyDescent="0.35">
      <c r="A26" s="30" t="s">
        <v>98</v>
      </c>
      <c r="B26" s="6">
        <v>25</v>
      </c>
      <c r="O26">
        <v>160.61180697639602</v>
      </c>
      <c r="Q26" s="28">
        <v>1033.5527669203868</v>
      </c>
      <c r="S26" s="28">
        <v>125.97</v>
      </c>
      <c r="U26" s="28">
        <v>19.732315727282259</v>
      </c>
      <c r="W26" s="28">
        <v>0.4000740912562753</v>
      </c>
      <c r="Y26" s="28">
        <v>59.092319408794737</v>
      </c>
      <c r="AG26" s="28">
        <v>448.05056079757878</v>
      </c>
      <c r="BQ26" s="32">
        <v>0.70686000000000004</v>
      </c>
    </row>
    <row r="27" spans="1:69" x14ac:dyDescent="0.35">
      <c r="A27" s="30" t="s">
        <v>99</v>
      </c>
      <c r="B27" s="6">
        <v>26</v>
      </c>
      <c r="O27">
        <v>8297.3202255601573</v>
      </c>
      <c r="Q27" s="28">
        <v>42813.824315984362</v>
      </c>
      <c r="S27" s="28">
        <v>57166.73</v>
      </c>
      <c r="U27" s="28">
        <v>7408.762017785939</v>
      </c>
      <c r="W27" s="28">
        <v>14.371445050012019</v>
      </c>
      <c r="Y27" s="28">
        <v>90944.348856232187</v>
      </c>
      <c r="AG27" s="28">
        <v>3910.2723873954064</v>
      </c>
      <c r="BQ27" s="32">
        <v>0.70896236400000001</v>
      </c>
    </row>
    <row r="28" spans="1:69" x14ac:dyDescent="0.35">
      <c r="A28" s="30" t="s">
        <v>100</v>
      </c>
      <c r="B28" s="6">
        <v>27</v>
      </c>
      <c r="O28">
        <v>827.69848794850031</v>
      </c>
      <c r="Q28" s="28">
        <v>850.62744291298088</v>
      </c>
      <c r="S28" s="28">
        <v>1024.0899999999999</v>
      </c>
      <c r="U28" s="28">
        <v>86.653383906717167</v>
      </c>
      <c r="W28" s="28">
        <v>2.0812456721894734</v>
      </c>
      <c r="Y28" s="28">
        <v>476.82847713874702</v>
      </c>
      <c r="AG28" s="28">
        <v>773.0995193163609</v>
      </c>
      <c r="BQ28" s="32">
        <v>0.70442199999999999</v>
      </c>
    </row>
    <row r="29" spans="1:69" x14ac:dyDescent="0.35">
      <c r="A29" s="30" t="s">
        <v>101</v>
      </c>
      <c r="B29" s="6">
        <v>28</v>
      </c>
      <c r="O29">
        <v>280.78995957882131</v>
      </c>
      <c r="Q29" s="28">
        <v>860.4813824315986</v>
      </c>
      <c r="S29" s="28">
        <v>304.87</v>
      </c>
      <c r="U29" s="28">
        <v>42.46987720693739</v>
      </c>
      <c r="W29" s="28">
        <v>0.59213365482549907</v>
      </c>
      <c r="Y29" s="28">
        <v>91.952726144472948</v>
      </c>
      <c r="AG29" s="28">
        <v>761.11803453800962</v>
      </c>
      <c r="BQ29" s="32">
        <v>0.70455500000000004</v>
      </c>
    </row>
    <row r="30" spans="1:69" x14ac:dyDescent="0.35">
      <c r="A30" s="30" t="s">
        <v>102</v>
      </c>
      <c r="B30" s="6">
        <v>29</v>
      </c>
      <c r="O30">
        <v>447.30275961874338</v>
      </c>
      <c r="Q30" s="28">
        <v>529.08866488376884</v>
      </c>
      <c r="S30" s="28">
        <v>290.43973651415342</v>
      </c>
      <c r="U30" s="28">
        <v>23.249092671548379</v>
      </c>
      <c r="W30" s="28">
        <v>0.44739380551340324</v>
      </c>
      <c r="Y30" s="28">
        <v>57.407835726172678</v>
      </c>
      <c r="AG30" s="28">
        <v>748.74488160939995</v>
      </c>
      <c r="BQ30" s="32">
        <v>0.70438100000000003</v>
      </c>
    </row>
    <row r="31" spans="1:69" x14ac:dyDescent="0.35">
      <c r="A31" s="30" t="s">
        <v>103</v>
      </c>
      <c r="B31" s="6">
        <v>30</v>
      </c>
      <c r="O31">
        <v>397.30026448425565</v>
      </c>
      <c r="Q31" s="28">
        <v>665.78893231845302</v>
      </c>
      <c r="S31" s="28">
        <v>183.90599964393803</v>
      </c>
      <c r="U31" s="28">
        <v>19.054536898023699</v>
      </c>
      <c r="W31" s="28">
        <v>0.32670854873187866</v>
      </c>
      <c r="Y31" s="28">
        <v>82.689758271514378</v>
      </c>
      <c r="AG31" s="28">
        <v>617.58946056613843</v>
      </c>
      <c r="BQ31" s="32">
        <v>0.70442132112269196</v>
      </c>
    </row>
    <row r="32" spans="1:69" x14ac:dyDescent="0.35">
      <c r="A32" s="30" t="s">
        <v>104</v>
      </c>
      <c r="B32" s="6">
        <v>31</v>
      </c>
      <c r="O32">
        <v>408.50341833424818</v>
      </c>
      <c r="Q32" s="28">
        <v>525.52972639374616</v>
      </c>
      <c r="S32" s="28">
        <v>160.83318497418551</v>
      </c>
      <c r="U32" s="28">
        <v>15.243629518418958</v>
      </c>
      <c r="W32" s="28">
        <v>0.30315653587325686</v>
      </c>
      <c r="Y32" s="28">
        <v>57.831777282599496</v>
      </c>
      <c r="AG32" s="28">
        <v>601.49546021007654</v>
      </c>
      <c r="BQ32" s="32">
        <v>0.70381740000000004</v>
      </c>
    </row>
    <row r="33" spans="1:69" x14ac:dyDescent="0.35">
      <c r="A33" s="30" t="s">
        <v>105</v>
      </c>
      <c r="B33" s="6">
        <v>32</v>
      </c>
      <c r="O33">
        <v>573.60646738859225</v>
      </c>
      <c r="Q33" s="28">
        <v>711.49969142151826</v>
      </c>
      <c r="S33" s="28">
        <v>186.61207050026701</v>
      </c>
      <c r="U33" s="28">
        <v>15.793525549704208</v>
      </c>
      <c r="W33" s="28">
        <v>0.33834797049947207</v>
      </c>
      <c r="Y33" s="28">
        <v>83.280399402025211</v>
      </c>
      <c r="AG33" s="28">
        <v>919.81484778351421</v>
      </c>
      <c r="BQ33" s="32">
        <v>0.70411380000000001</v>
      </c>
    </row>
    <row r="34" spans="1:69" x14ac:dyDescent="0.35">
      <c r="A34" s="30" t="s">
        <v>106</v>
      </c>
      <c r="B34" s="6">
        <v>33</v>
      </c>
      <c r="O34">
        <v>762.78756424971311</v>
      </c>
      <c r="Q34" s="28">
        <v>797.44908455050415</v>
      </c>
      <c r="S34" s="28">
        <v>283.56774078689688</v>
      </c>
      <c r="U34" s="28">
        <v>16.343421580989453</v>
      </c>
      <c r="W34" s="28">
        <v>0.53395919804787573</v>
      </c>
      <c r="Y34" s="28">
        <v>78.914619355202646</v>
      </c>
      <c r="AG34" s="28">
        <v>1060.8509880719243</v>
      </c>
      <c r="BQ34" s="32">
        <v>0.70418329999999996</v>
      </c>
    </row>
    <row r="35" spans="1:69" x14ac:dyDescent="0.35">
      <c r="A35" s="30" t="s">
        <v>107</v>
      </c>
      <c r="B35" s="6">
        <v>34</v>
      </c>
      <c r="O35">
        <v>658.04181845401467</v>
      </c>
      <c r="Q35" s="28">
        <v>853.03435507097311</v>
      </c>
      <c r="S35" s="28">
        <v>256.1153640733487</v>
      </c>
      <c r="U35" s="28">
        <v>20.563553914108798</v>
      </c>
      <c r="W35" s="28">
        <v>0.39121345926322815</v>
      </c>
      <c r="Y35" s="28">
        <v>111.15561447550276</v>
      </c>
      <c r="AG35" s="28">
        <v>974.07868969200626</v>
      </c>
      <c r="BQ35" s="32">
        <v>0.70440806892447405</v>
      </c>
    </row>
    <row r="36" spans="1:69" x14ac:dyDescent="0.35">
      <c r="A36" s="30" t="s">
        <v>108</v>
      </c>
      <c r="B36" s="6">
        <v>35</v>
      </c>
      <c r="O36">
        <v>910.12525575128484</v>
      </c>
      <c r="Q36" s="28">
        <v>1664.1843242131251</v>
      </c>
      <c r="S36" s="28">
        <v>163.50364963503648</v>
      </c>
      <c r="U36" s="28">
        <v>20.10317584140487</v>
      </c>
      <c r="W36" s="28">
        <v>2.5602700224349011</v>
      </c>
      <c r="Y36" s="28">
        <v>173.77598510704308</v>
      </c>
      <c r="AG36" s="28">
        <v>764.32259213103077</v>
      </c>
      <c r="BQ36" s="32">
        <v>0.70867060000000004</v>
      </c>
    </row>
    <row r="37" spans="1:69" x14ac:dyDescent="0.35">
      <c r="A37" s="30" t="s">
        <v>109</v>
      </c>
      <c r="B37" s="6">
        <v>36</v>
      </c>
      <c r="O37">
        <v>1005.1898797345176</v>
      </c>
      <c r="Q37" s="28">
        <v>1797.737091133512</v>
      </c>
      <c r="S37" s="28">
        <v>145.59373330959588</v>
      </c>
      <c r="U37" s="28">
        <v>27.64826092183036</v>
      </c>
      <c r="W37" s="28">
        <v>2.7188760586464009</v>
      </c>
      <c r="Y37" s="28">
        <v>166.11034327137332</v>
      </c>
      <c r="AG37" s="28">
        <v>941.24977746127809</v>
      </c>
      <c r="BQ37" s="32">
        <v>0.70867860000000005</v>
      </c>
    </row>
    <row r="38" spans="1:69" x14ac:dyDescent="0.35">
      <c r="A38" s="30" t="s">
        <v>110</v>
      </c>
      <c r="B38" s="6">
        <v>37</v>
      </c>
      <c r="O38">
        <v>745.04715804181842</v>
      </c>
      <c r="Q38" s="28">
        <v>1839.6626208599057</v>
      </c>
      <c r="S38" s="28">
        <v>124.44365319565604</v>
      </c>
      <c r="U38" s="28">
        <v>15.039017041661657</v>
      </c>
      <c r="W38" s="28">
        <v>0.54158014398289334</v>
      </c>
      <c r="Y38" s="28">
        <v>158.11130228753558</v>
      </c>
      <c r="AG38" s="28">
        <v>955.91952999821956</v>
      </c>
      <c r="BQ38" s="32">
        <v>0.70859399999999995</v>
      </c>
    </row>
    <row r="39" spans="1:69" x14ac:dyDescent="0.35">
      <c r="A39" s="30" t="s">
        <v>111</v>
      </c>
      <c r="B39" s="6">
        <v>38</v>
      </c>
      <c r="O39">
        <v>1083.8614701332401</v>
      </c>
      <c r="Q39" s="28">
        <v>1621.5182061304261</v>
      </c>
      <c r="S39" s="28">
        <v>143.77781734021718</v>
      </c>
      <c r="U39" s="28">
        <v>15.448241995176261</v>
      </c>
      <c r="W39" s="28">
        <v>2.6051789095453755</v>
      </c>
      <c r="Y39" s="28">
        <v>132.54703410148645</v>
      </c>
      <c r="AG39" s="28">
        <v>590.20829624354633</v>
      </c>
      <c r="BQ39" s="32">
        <v>0.70870180000000005</v>
      </c>
    </row>
    <row r="40" spans="1:69" x14ac:dyDescent="0.35">
      <c r="A40" s="30" t="s">
        <v>112</v>
      </c>
      <c r="B40" s="6">
        <v>39</v>
      </c>
      <c r="O40">
        <v>49.777933030590347</v>
      </c>
      <c r="Q40" s="28">
        <v>1283.39847767949</v>
      </c>
      <c r="S40" s="28">
        <v>153.07103435997863</v>
      </c>
      <c r="U40" s="28">
        <v>13.990378098280489</v>
      </c>
      <c r="W40" s="28">
        <v>0.12529091199292888</v>
      </c>
      <c r="Y40" s="28">
        <v>19.800016923814624</v>
      </c>
      <c r="AG40" s="28">
        <v>657.00551896029913</v>
      </c>
      <c r="BQ40" s="32">
        <v>0.70627473279129904</v>
      </c>
    </row>
    <row r="41" spans="1:69" x14ac:dyDescent="0.35">
      <c r="A41" s="30" t="s">
        <v>113</v>
      </c>
      <c r="B41" s="6">
        <v>40</v>
      </c>
      <c r="O41">
        <v>62.178751434702328</v>
      </c>
      <c r="Q41" s="28">
        <v>1501.0903106356718</v>
      </c>
      <c r="S41" s="28">
        <v>134.91187466619192</v>
      </c>
      <c r="U41" s="28">
        <v>17.571096441533264</v>
      </c>
      <c r="W41" s="28">
        <v>0.14966281700766482</v>
      </c>
      <c r="Y41" s="28">
        <v>27.70936169012495</v>
      </c>
      <c r="AG41" s="28">
        <v>753.42709631475873</v>
      </c>
      <c r="BQ41" s="32">
        <v>0.70578269991253095</v>
      </c>
    </row>
    <row r="42" spans="1:69" x14ac:dyDescent="0.35">
      <c r="A42" s="30" t="s">
        <v>114</v>
      </c>
      <c r="B42" s="6">
        <v>41</v>
      </c>
      <c r="O42">
        <v>321.89730026448422</v>
      </c>
      <c r="Q42" s="28">
        <v>1954.8241102653776</v>
      </c>
      <c r="S42" s="28">
        <v>4659.7115898166276</v>
      </c>
      <c r="U42" s="28">
        <v>54.836143770956795</v>
      </c>
      <c r="W42" s="28">
        <v>1.3392254964446353</v>
      </c>
      <c r="Y42" s="28">
        <v>107.7341832849124</v>
      </c>
      <c r="AG42" s="28">
        <v>571.76428698593554</v>
      </c>
      <c r="BQ42" s="32">
        <v>0.70879460000000005</v>
      </c>
    </row>
    <row r="43" spans="1:69" x14ac:dyDescent="0.35">
      <c r="A43" s="30" t="s">
        <v>115</v>
      </c>
      <c r="B43" s="6">
        <v>42</v>
      </c>
      <c r="O43">
        <v>203.62792554518686</v>
      </c>
      <c r="Q43" s="28">
        <v>839.41575807447043</v>
      </c>
      <c r="S43" s="28">
        <v>124.12319743635392</v>
      </c>
      <c r="U43" s="28">
        <v>14.987863922472332</v>
      </c>
      <c r="W43" s="28">
        <v>0.17717207831605014</v>
      </c>
      <c r="Y43" s="28">
        <v>775.26048571347962</v>
      </c>
      <c r="AG43" s="28">
        <v>617.62506676161638</v>
      </c>
      <c r="BQ43" s="32">
        <v>0.7047563</v>
      </c>
    </row>
    <row r="44" spans="1:69" x14ac:dyDescent="0.35">
      <c r="A44" s="30" t="s">
        <v>116</v>
      </c>
      <c r="B44" s="6">
        <v>43</v>
      </c>
      <c r="O44">
        <v>185.28868706023252</v>
      </c>
      <c r="Q44" s="28">
        <v>643.20098745114171</v>
      </c>
      <c r="S44" s="28">
        <v>131.45807370482461</v>
      </c>
      <c r="U44" s="28">
        <v>15.461030274973593</v>
      </c>
      <c r="W44" s="28">
        <v>0.52537701518047519</v>
      </c>
      <c r="Y44" s="28">
        <v>745.36428510986366</v>
      </c>
      <c r="AG44" s="28">
        <v>524.06978814313686</v>
      </c>
      <c r="BQ44" s="32">
        <v>0.70690911000000001</v>
      </c>
    </row>
    <row r="45" spans="1:69" x14ac:dyDescent="0.35">
      <c r="A45" s="30" t="s">
        <v>117</v>
      </c>
      <c r="B45" s="6">
        <v>44</v>
      </c>
      <c r="O45">
        <v>182.91830929687109</v>
      </c>
      <c r="Q45" s="28">
        <v>501.25488582596176</v>
      </c>
      <c r="S45" s="28">
        <v>158.76802563646072</v>
      </c>
      <c r="U45" s="28">
        <v>18.440699467751795</v>
      </c>
      <c r="W45" s="28">
        <v>0.36584812095020858</v>
      </c>
      <c r="Y45" s="28">
        <v>85.008320875525328</v>
      </c>
      <c r="AG45" s="28">
        <v>402.77728324728497</v>
      </c>
      <c r="BQ45" s="32">
        <v>0.7072619</v>
      </c>
    </row>
    <row r="46" spans="1:69" x14ac:dyDescent="0.35">
      <c r="A46" s="30" t="s">
        <v>118</v>
      </c>
      <c r="B46" s="6">
        <v>45</v>
      </c>
      <c r="O46">
        <v>126.07914566595139</v>
      </c>
      <c r="Q46" s="28">
        <v>611.06768154700683</v>
      </c>
      <c r="S46" s="28">
        <v>119.81484778351432</v>
      </c>
      <c r="U46" s="28">
        <v>16.266691902205466</v>
      </c>
      <c r="Y46" s="28">
        <v>14.548275181225847</v>
      </c>
      <c r="AG46" s="28">
        <v>431.01299626134943</v>
      </c>
      <c r="BQ46" s="32">
        <v>0.70879287999999996</v>
      </c>
    </row>
    <row r="47" spans="1:69" x14ac:dyDescent="0.35">
      <c r="A47" s="30" t="s">
        <v>119</v>
      </c>
      <c r="B47" s="6">
        <v>46</v>
      </c>
      <c r="O47">
        <v>566.9195069614251</v>
      </c>
      <c r="Q47" s="28">
        <v>759.47335939107188</v>
      </c>
      <c r="S47" s="28">
        <v>459.88962079401813</v>
      </c>
      <c r="U47" s="28">
        <v>44.707826171470373</v>
      </c>
      <c r="W47" s="28">
        <v>1.1609994222420428</v>
      </c>
      <c r="Y47" s="28">
        <v>3025.0867345499669</v>
      </c>
      <c r="AG47" s="28">
        <v>736.6743813423534</v>
      </c>
      <c r="BQ47" s="32">
        <v>0.70478030000000003</v>
      </c>
    </row>
    <row r="48" spans="1:69" x14ac:dyDescent="0.35">
      <c r="A48" s="30" t="s">
        <v>120</v>
      </c>
      <c r="B48" s="6">
        <v>47</v>
      </c>
      <c r="O48">
        <v>214.68137132591443</v>
      </c>
      <c r="Q48" s="28">
        <v>685.78481793869571</v>
      </c>
      <c r="S48" s="28">
        <v>233.07815559907422</v>
      </c>
      <c r="U48" s="28">
        <v>35.500264717391801</v>
      </c>
      <c r="W48" s="28">
        <v>0.48496338176431669</v>
      </c>
      <c r="Y48" s="28">
        <v>91.43372916255322</v>
      </c>
      <c r="AG48" s="28">
        <v>764.25137974007464</v>
      </c>
      <c r="BQ48" s="32">
        <v>0.70470089999999996</v>
      </c>
    </row>
    <row r="49" spans="1:69" x14ac:dyDescent="0.35">
      <c r="A49" s="30" t="s">
        <v>121</v>
      </c>
      <c r="B49" s="6">
        <v>48</v>
      </c>
      <c r="O49">
        <v>354.23105643994205</v>
      </c>
      <c r="Q49" s="28">
        <v>499.79430940135779</v>
      </c>
      <c r="S49" s="28">
        <v>215.75340437956203</v>
      </c>
      <c r="U49" s="28">
        <v>10.051625451745984</v>
      </c>
      <c r="W49" s="28">
        <v>0.37811985780544638</v>
      </c>
      <c r="Y49" s="28">
        <v>33.884297520661157</v>
      </c>
      <c r="AG49" s="28">
        <v>640.38836247106997</v>
      </c>
      <c r="BQ49" s="19">
        <v>0.70441299999999996</v>
      </c>
    </row>
    <row r="50" spans="1:69" x14ac:dyDescent="0.35">
      <c r="A50" s="30" t="s">
        <v>122</v>
      </c>
      <c r="B50" s="6">
        <v>49</v>
      </c>
      <c r="O50">
        <v>351.69839038874193</v>
      </c>
      <c r="Q50" s="28">
        <v>703.55674017691842</v>
      </c>
      <c r="S50" s="28">
        <v>138.43469652839593</v>
      </c>
      <c r="U50" s="28">
        <v>7.4213107654296984</v>
      </c>
      <c r="W50" s="28">
        <v>0.29727760540031156</v>
      </c>
      <c r="Y50" s="28">
        <v>31.385214227286831</v>
      </c>
      <c r="AG50" s="28">
        <v>566.13653373687021</v>
      </c>
      <c r="BQ50" s="19">
        <v>0.70421699999999998</v>
      </c>
    </row>
    <row r="51" spans="1:69" x14ac:dyDescent="0.35">
      <c r="A51" s="30" t="s">
        <v>123</v>
      </c>
      <c r="B51" s="6">
        <v>50</v>
      </c>
      <c r="O51">
        <v>366.04658341234585</v>
      </c>
      <c r="Q51" s="28">
        <v>738.68505286977995</v>
      </c>
      <c r="S51" s="28">
        <v>129.76398194765889</v>
      </c>
      <c r="U51" s="28">
        <v>11.254198243913418</v>
      </c>
      <c r="W51" s="28">
        <v>0.32150756331318214</v>
      </c>
      <c r="Y51" s="28">
        <v>42.08388570783854</v>
      </c>
      <c r="AG51" s="28">
        <v>552.28679437422113</v>
      </c>
      <c r="BQ51" s="19">
        <v>0.70460800000000001</v>
      </c>
    </row>
    <row r="52" spans="1:69" x14ac:dyDescent="0.35">
      <c r="A52" s="30" t="s">
        <v>124</v>
      </c>
      <c r="B52" s="6">
        <v>51</v>
      </c>
      <c r="O52">
        <v>438.94800988073257</v>
      </c>
      <c r="Q52" s="28">
        <v>633.46565727216625</v>
      </c>
      <c r="S52" s="28">
        <v>103.02269962613494</v>
      </c>
      <c r="U52" s="28">
        <v>4.2643048546867766</v>
      </c>
      <c r="W52" s="28">
        <v>0.29990052755564678</v>
      </c>
      <c r="Y52" s="28">
        <v>40.718697994527957</v>
      </c>
      <c r="AG52" s="28">
        <v>567.93717001958328</v>
      </c>
      <c r="BQ52" s="19">
        <v>0.70375399999999999</v>
      </c>
    </row>
    <row r="53" spans="1:69" x14ac:dyDescent="0.35">
      <c r="A53" s="30" t="s">
        <v>125</v>
      </c>
      <c r="B53" s="6">
        <v>52</v>
      </c>
      <c r="O53">
        <v>580.74068491441676</v>
      </c>
      <c r="Q53" s="28">
        <v>911.32574861139688</v>
      </c>
      <c r="S53" s="28">
        <v>158.58418387039342</v>
      </c>
      <c r="U53" s="28">
        <v>4.8426818455022342</v>
      </c>
      <c r="W53" s="28">
        <v>0.35930402349651769</v>
      </c>
      <c r="Y53" s="28">
        <v>42.656474769413016</v>
      </c>
      <c r="AG53" s="28">
        <v>922.99464340395218</v>
      </c>
      <c r="BQ53" s="19">
        <v>0.70403700000000002</v>
      </c>
    </row>
    <row r="54" spans="1:69" x14ac:dyDescent="0.35">
      <c r="A54" s="30" t="s">
        <v>126</v>
      </c>
      <c r="B54" s="6">
        <v>53</v>
      </c>
      <c r="O54">
        <v>764.9618783372423</v>
      </c>
      <c r="Q54" s="28">
        <v>896.63910676815487</v>
      </c>
      <c r="S54" s="28">
        <v>214.90908463592663</v>
      </c>
      <c r="U54" s="28">
        <v>4.3145936447364717</v>
      </c>
      <c r="W54" s="28">
        <v>0.50594129874809723</v>
      </c>
      <c r="Y54" s="28">
        <v>45.276845400953363</v>
      </c>
      <c r="AG54" s="28">
        <v>1053.2834676873774</v>
      </c>
      <c r="BQ54" s="19">
        <v>0.70416400000000001</v>
      </c>
    </row>
    <row r="55" spans="1:69" x14ac:dyDescent="0.35">
      <c r="A55" s="30" t="s">
        <v>127</v>
      </c>
      <c r="B55" s="6">
        <v>54</v>
      </c>
      <c r="O55">
        <v>711.81578322271571</v>
      </c>
      <c r="Q55" s="28">
        <v>1003.1144620448468</v>
      </c>
      <c r="S55" s="28">
        <v>222.76675591952997</v>
      </c>
      <c r="U55" s="28">
        <v>19.33340701002345</v>
      </c>
      <c r="W55" s="28">
        <v>0.45193833885779389</v>
      </c>
      <c r="Y55" s="28">
        <v>66.093137393168405</v>
      </c>
      <c r="AG55" s="28">
        <v>942.07122912586783</v>
      </c>
      <c r="BQ55" s="19">
        <v>0.70443299999999998</v>
      </c>
    </row>
    <row r="56" spans="1:69" x14ac:dyDescent="0.35">
      <c r="A56" s="30" t="s">
        <v>128</v>
      </c>
      <c r="B56" s="6">
        <v>55</v>
      </c>
      <c r="O56">
        <v>742.55165502270575</v>
      </c>
      <c r="Q56" s="28">
        <v>2440.9445747788527</v>
      </c>
      <c r="S56" s="28">
        <v>82.117140288410155</v>
      </c>
      <c r="U56" s="28">
        <v>0.50183200957586394</v>
      </c>
      <c r="W56" s="28">
        <v>1.8536851874249716</v>
      </c>
      <c r="Y56" s="28">
        <v>59.100781316108637</v>
      </c>
      <c r="AG56" s="28">
        <v>666.89980879473023</v>
      </c>
      <c r="BQ56" s="19">
        <v>0.70864799999999994</v>
      </c>
    </row>
    <row r="57" spans="1:69" x14ac:dyDescent="0.35">
      <c r="A57" s="30" t="s">
        <v>129</v>
      </c>
      <c r="B57" s="6">
        <v>56</v>
      </c>
      <c r="O57">
        <v>660.06427715953885</v>
      </c>
      <c r="Q57" s="28">
        <v>2255.8068060069945</v>
      </c>
      <c r="S57" s="28">
        <v>70.559929713370124</v>
      </c>
      <c r="U57" s="28">
        <v>3.2348994611018891</v>
      </c>
      <c r="W57" s="28">
        <v>1.4902100010925723</v>
      </c>
      <c r="Y57" s="28">
        <v>67.715002961667551</v>
      </c>
      <c r="AG57" s="28">
        <v>802.68205946234639</v>
      </c>
      <c r="BQ57" s="19">
        <v>0.70862700000000001</v>
      </c>
    </row>
    <row r="58" spans="1:69" x14ac:dyDescent="0.35">
      <c r="A58" s="30" t="s">
        <v>130</v>
      </c>
      <c r="B58" s="6">
        <v>57</v>
      </c>
      <c r="O58">
        <v>615.61031463645884</v>
      </c>
      <c r="Q58" s="28">
        <v>2219.3767175478297</v>
      </c>
      <c r="S58" s="28">
        <v>62.082275948014953</v>
      </c>
      <c r="U58" s="28">
        <v>3.2400247836862466</v>
      </c>
      <c r="W58" s="28">
        <f>1017.55050070916/1000</f>
        <v>1.0175505007091601</v>
      </c>
      <c r="Y58" s="28">
        <v>75.872281612275401</v>
      </c>
      <c r="AG58" s="28">
        <v>936.55328217909903</v>
      </c>
      <c r="BQ58" s="19">
        <v>0.70857199999999998</v>
      </c>
    </row>
    <row r="59" spans="1:69" x14ac:dyDescent="0.35">
      <c r="A59" s="30" t="s">
        <v>131</v>
      </c>
      <c r="B59" s="6">
        <v>58</v>
      </c>
      <c r="O59">
        <v>939.36691601377311</v>
      </c>
      <c r="Q59" s="28">
        <v>2255.9195009257355</v>
      </c>
      <c r="S59" s="28">
        <v>91.354001068185866</v>
      </c>
      <c r="U59" s="28">
        <v>7.775397838269182</v>
      </c>
      <c r="W59" s="28">
        <v>1.9484918861704412</v>
      </c>
      <c r="Y59" s="28">
        <v>39.409922996643438</v>
      </c>
      <c r="AG59" s="28">
        <v>995.259274345736</v>
      </c>
      <c r="BQ59" s="19">
        <v>0.70867100000000005</v>
      </c>
    </row>
    <row r="60" spans="1:69" x14ac:dyDescent="0.35">
      <c r="A60" s="30" t="s">
        <v>132</v>
      </c>
      <c r="B60" s="6">
        <v>59</v>
      </c>
      <c r="O60">
        <v>862.82095388991456</v>
      </c>
      <c r="Q60" s="28">
        <v>2095.9440403209219</v>
      </c>
      <c r="S60" s="28">
        <v>105.5001196012106</v>
      </c>
      <c r="U60" s="28">
        <v>8.7025586892524736</v>
      </c>
      <c r="W60" s="28">
        <v>2.0721564964879753</v>
      </c>
      <c r="Y60" s="28">
        <v>87.575099427410933</v>
      </c>
      <c r="AG60" s="28">
        <v>768.98959836211498</v>
      </c>
      <c r="BQ60" s="19">
        <v>0.70865900000000004</v>
      </c>
    </row>
    <row r="61" spans="1:69" x14ac:dyDescent="0.35">
      <c r="A61" s="30" t="s">
        <v>133</v>
      </c>
      <c r="B61" s="6">
        <v>60</v>
      </c>
      <c r="O61">
        <v>57.334733694296119</v>
      </c>
      <c r="Q61" s="28">
        <v>1611.0032820407325</v>
      </c>
      <c r="S61" s="28">
        <v>94.246820188712817</v>
      </c>
      <c r="U61" s="28">
        <v>3.35093426312653</v>
      </c>
      <c r="W61" s="28">
        <v>0.12823095273749546</v>
      </c>
      <c r="Y61" s="28">
        <v>83.564155360618273</v>
      </c>
      <c r="AG61" s="28">
        <v>645.9881331671711</v>
      </c>
      <c r="BQ61" s="19">
        <v>0.70618099999999995</v>
      </c>
    </row>
    <row r="62" spans="1:69" x14ac:dyDescent="0.35">
      <c r="A62" s="30" t="s">
        <v>134</v>
      </c>
      <c r="B62" s="6">
        <v>61</v>
      </c>
      <c r="O62">
        <v>47.524735116522777</v>
      </c>
      <c r="Q62" s="28">
        <v>1713.4761209627652</v>
      </c>
      <c r="S62" s="28">
        <v>46.80960826063734</v>
      </c>
      <c r="U62" s="28">
        <v>2.7695971666287282</v>
      </c>
      <c r="W62" s="28">
        <v>0.1232738412841563</v>
      </c>
      <c r="Y62" s="28">
        <v>50.520407299805363</v>
      </c>
      <c r="AG62" s="28">
        <v>730.23579099163237</v>
      </c>
      <c r="BQ62" s="19">
        <v>0.70565900000000004</v>
      </c>
    </row>
    <row r="63" spans="1:69" x14ac:dyDescent="0.35">
      <c r="A63" s="30" t="s">
        <v>135</v>
      </c>
      <c r="B63" s="6">
        <v>62</v>
      </c>
      <c r="O63">
        <v>151.73073873446779</v>
      </c>
      <c r="Q63" s="28">
        <v>1664.9973861345404</v>
      </c>
      <c r="S63" s="28">
        <v>91.173079615453076</v>
      </c>
      <c r="U63" s="28">
        <v>8.9250054350189139</v>
      </c>
      <c r="W63" s="28">
        <v>0.19222861834420618</v>
      </c>
      <c r="Y63" s="28">
        <v>81.251234028149938</v>
      </c>
      <c r="AG63" s="28">
        <v>681.57753427096316</v>
      </c>
      <c r="BQ63" s="31">
        <v>0.70539300000000005</v>
      </c>
    </row>
    <row r="64" spans="1:69" x14ac:dyDescent="0.35">
      <c r="A64" s="30" t="s">
        <v>136</v>
      </c>
      <c r="B64" s="6">
        <v>63</v>
      </c>
      <c r="O64">
        <v>766.61252906831669</v>
      </c>
      <c r="Q64" s="28">
        <v>3831.2505616128374</v>
      </c>
      <c r="S64" s="28">
        <v>19847.71748264198</v>
      </c>
      <c r="U64" s="28">
        <v>537.42939820912932</v>
      </c>
      <c r="W64" s="28">
        <v>4.6903663275880714</v>
      </c>
      <c r="Y64" s="28">
        <v>10814.230107466221</v>
      </c>
      <c r="AG64" s="28">
        <v>545.71171301406446</v>
      </c>
      <c r="BQ64" s="19">
        <v>0.70902799999999999</v>
      </c>
    </row>
    <row r="65" spans="1:69" x14ac:dyDescent="0.35">
      <c r="A65" s="30" t="s">
        <v>137</v>
      </c>
      <c r="B65" s="6">
        <v>64</v>
      </c>
      <c r="O65">
        <v>184.19731815459852</v>
      </c>
      <c r="Q65" s="28">
        <v>946.5243287389427</v>
      </c>
      <c r="S65" s="28">
        <v>55.87697500445077</v>
      </c>
      <c r="U65" s="28">
        <v>2.7267108160712867</v>
      </c>
      <c r="W65" s="28">
        <v>0.14484178755375307</v>
      </c>
      <c r="Y65" s="28">
        <v>69.161989112345921</v>
      </c>
      <c r="AG65" s="28">
        <v>573.4951685953356</v>
      </c>
      <c r="BQ65" s="19">
        <v>0.70474199999999998</v>
      </c>
    </row>
    <row r="66" spans="1:69" x14ac:dyDescent="0.35">
      <c r="A66" s="30" t="s">
        <v>138</v>
      </c>
      <c r="B66" s="6">
        <v>65</v>
      </c>
      <c r="O66">
        <v>200.96364653924846</v>
      </c>
      <c r="Q66" s="28">
        <v>787.42684838510604</v>
      </c>
      <c r="S66" s="28">
        <v>67.601934413387923</v>
      </c>
      <c r="U66" s="28">
        <v>4.8351851077924097</v>
      </c>
      <c r="W66" s="28">
        <v>0.46487276310894016</v>
      </c>
      <c r="Y66" s="28">
        <v>43.877810058387162</v>
      </c>
      <c r="AG66" s="28">
        <v>519.98475449528212</v>
      </c>
      <c r="BQ66" s="19">
        <v>0.70785200000000004</v>
      </c>
    </row>
    <row r="67" spans="1:69" x14ac:dyDescent="0.35">
      <c r="A67" s="30" t="s">
        <v>139</v>
      </c>
      <c r="B67" s="6">
        <v>66</v>
      </c>
      <c r="O67">
        <v>177.51016724886466</v>
      </c>
      <c r="Q67" s="28">
        <v>583.64269738736891</v>
      </c>
      <c r="S67" s="28">
        <v>92.349272387395388</v>
      </c>
      <c r="U67" s="28">
        <v>4.1382521311668272</v>
      </c>
      <c r="W67" s="28">
        <v>0.23009761946352769</v>
      </c>
      <c r="Y67" s="28">
        <v>88.771048994443333</v>
      </c>
      <c r="AG67" s="28">
        <v>392.37683211678831</v>
      </c>
      <c r="BQ67" s="19">
        <v>0.70725000000000005</v>
      </c>
    </row>
    <row r="68" spans="1:69" x14ac:dyDescent="0.35">
      <c r="A68" s="30" t="s">
        <v>140</v>
      </c>
      <c r="B68" s="6">
        <v>67</v>
      </c>
      <c r="O68">
        <v>119.55697909077298</v>
      </c>
      <c r="Q68" s="28">
        <v>731.38157210450527</v>
      </c>
      <c r="S68" s="28">
        <v>41.686620188712837</v>
      </c>
      <c r="U68" s="28">
        <v>2.1696248223068522</v>
      </c>
      <c r="W68" s="28">
        <v>0.20000272461332366</v>
      </c>
      <c r="Y68" s="28">
        <v>25.019039291456288</v>
      </c>
      <c r="AG68" s="28">
        <v>423.14575218087941</v>
      </c>
      <c r="BQ68" s="19">
        <v>0.70697900000000002</v>
      </c>
    </row>
    <row r="69" spans="1:69" x14ac:dyDescent="0.35">
      <c r="A69" s="30" t="s">
        <v>141</v>
      </c>
      <c r="B69" s="6">
        <v>68</v>
      </c>
      <c r="O69">
        <v>181.31430872299015</v>
      </c>
      <c r="Q69" s="28">
        <v>1360.3241147911956</v>
      </c>
      <c r="S69" s="28">
        <v>3452.2140163788495</v>
      </c>
      <c r="U69" s="28">
        <v>88.1619118478297</v>
      </c>
      <c r="W69" s="28">
        <v>1.1845726543818218</v>
      </c>
      <c r="Y69" s="28">
        <v>1436.9869968690944</v>
      </c>
      <c r="AG69" s="28">
        <v>564.49316503471607</v>
      </c>
      <c r="BQ69" s="19">
        <v>0.70845400000000003</v>
      </c>
    </row>
    <row r="70" spans="1:69" x14ac:dyDescent="0.35">
      <c r="A70" s="30" t="s">
        <v>142</v>
      </c>
      <c r="B70" s="6">
        <v>69</v>
      </c>
      <c r="O70">
        <v>583.40923449273907</v>
      </c>
      <c r="Q70" s="28">
        <v>1021.2968249331414</v>
      </c>
      <c r="S70" s="28">
        <v>447.28683959408932</v>
      </c>
      <c r="U70" s="28">
        <v>48.269165078788589</v>
      </c>
      <c r="W70" s="28">
        <v>1.1272011489733793</v>
      </c>
      <c r="Y70" s="28">
        <v>160.33339914816798</v>
      </c>
      <c r="AG70" s="28">
        <v>713.82774577176417</v>
      </c>
      <c r="BQ70" s="19">
        <v>0.70459799999999995</v>
      </c>
    </row>
    <row r="71" spans="1:69" x14ac:dyDescent="0.35">
      <c r="A71" s="30" t="s">
        <v>143</v>
      </c>
      <c r="B71" s="6">
        <v>70</v>
      </c>
      <c r="O71">
        <v>142.8806670243026</v>
      </c>
      <c r="Q71" s="28">
        <v>1051.2618806829869</v>
      </c>
      <c r="S71" s="28">
        <v>84.40938985223427</v>
      </c>
      <c r="U71" s="28">
        <v>4.0373581766982198</v>
      </c>
      <c r="W71" s="28">
        <v>0.18915548739874688</v>
      </c>
      <c r="Y71" s="28">
        <v>44.831184949087515</v>
      </c>
      <c r="AG71" s="28">
        <v>674.34345059640373</v>
      </c>
      <c r="BQ71" s="19">
        <v>0.70440700000000001</v>
      </c>
    </row>
    <row r="72" spans="1:69" x14ac:dyDescent="0.35">
      <c r="A72" s="30" t="s">
        <v>144</v>
      </c>
      <c r="B72" s="6">
        <v>71</v>
      </c>
      <c r="O72">
        <v>235.75694480762513</v>
      </c>
      <c r="Q72" s="28">
        <v>863.37047521086208</v>
      </c>
      <c r="S72" s="28">
        <v>286.66089335944457</v>
      </c>
      <c r="U72" s="28">
        <v>27.586228787440888</v>
      </c>
      <c r="W72" s="28">
        <v>0.46719395694099136</v>
      </c>
      <c r="Y72" s="28">
        <v>138.52424336445435</v>
      </c>
      <c r="AG72" s="28">
        <v>806.74864767669567</v>
      </c>
      <c r="BQ72" s="19">
        <v>0.70512699999999995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MyRiverData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Custado</dc:creator>
  <cp:lastModifiedBy>Justin Custado</cp:lastModifiedBy>
  <dcterms:created xsi:type="dcterms:W3CDTF">2025-08-05T17:14:25Z</dcterms:created>
  <dcterms:modified xsi:type="dcterms:W3CDTF">2026-05-11T19:21:43Z</dcterms:modified>
</cp:coreProperties>
</file>