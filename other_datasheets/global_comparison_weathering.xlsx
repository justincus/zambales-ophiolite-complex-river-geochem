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 - Custado\Zambales weathering\Data analysis\Other datasheets\"/>
    </mc:Choice>
  </mc:AlternateContent>
  <xr:revisionPtr revIDLastSave="0" documentId="13_ncr:1_{57487210-1B43-4E83-8931-32C78EFE0972}" xr6:coauthVersionLast="47" xr6:coauthVersionMax="47" xr10:uidLastSave="{00000000-0000-0000-0000-000000000000}"/>
  <bookViews>
    <workbookView xWindow="-110" yWindow="-110" windowWidth="38620" windowHeight="21100" activeTab="2" xr2:uid="{23B29581-4004-44BE-9D34-3B309AA440A4}"/>
  </bookViews>
  <sheets>
    <sheet name="global_comparison" sheetId="1" r:id="rId1"/>
    <sheet name="Sheet2" sheetId="3" r:id="rId2"/>
    <sheet name="TO_CSV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3" i="1" l="1"/>
  <c r="F154" i="1"/>
  <c r="F155" i="1"/>
  <c r="F156" i="1"/>
  <c r="F157" i="1"/>
  <c r="F162" i="1"/>
  <c r="F164" i="1"/>
  <c r="F166" i="1"/>
  <c r="F167" i="1"/>
  <c r="F168" i="1"/>
  <c r="F170" i="1"/>
  <c r="F171" i="1"/>
  <c r="F173" i="1"/>
  <c r="F174" i="1"/>
  <c r="F177" i="1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87" i="3"/>
  <c r="E142" i="1"/>
  <c r="E143" i="1"/>
  <c r="E144" i="1"/>
  <c r="E145" i="1"/>
  <c r="E146" i="1"/>
  <c r="E141" i="1"/>
  <c r="H142" i="1"/>
  <c r="H143" i="1"/>
  <c r="H144" i="1"/>
  <c r="H145" i="1"/>
  <c r="H146" i="1"/>
  <c r="H141" i="1"/>
  <c r="AK57" i="3"/>
  <c r="AK58" i="3"/>
  <c r="AK59" i="3"/>
  <c r="AK60" i="3"/>
  <c r="AK61" i="3"/>
  <c r="AK56" i="3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15" i="1"/>
  <c r="H116" i="1"/>
  <c r="H117" i="1"/>
  <c r="H118" i="1"/>
  <c r="H119" i="1"/>
  <c r="H120" i="1"/>
  <c r="H114" i="1"/>
  <c r="H113" i="1"/>
  <c r="H68" i="1"/>
  <c r="H69" i="1"/>
  <c r="H70" i="1"/>
  <c r="H71" i="1"/>
  <c r="H72" i="1"/>
  <c r="H73" i="1"/>
  <c r="H74" i="1"/>
  <c r="H75" i="1"/>
  <c r="H76" i="1"/>
  <c r="H77" i="1"/>
  <c r="H78" i="1"/>
  <c r="H65" i="1"/>
  <c r="H64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113" i="1"/>
  <c r="E114" i="1"/>
  <c r="E115" i="1"/>
  <c r="E116" i="1"/>
  <c r="E117" i="1"/>
  <c r="E118" i="1"/>
  <c r="E119" i="1"/>
  <c r="E120" i="1"/>
  <c r="E68" i="1"/>
  <c r="I80" i="1"/>
  <c r="I81" i="1"/>
  <c r="I82" i="1"/>
  <c r="I83" i="1"/>
  <c r="I84" i="1"/>
  <c r="I85" i="1"/>
  <c r="I86" i="1"/>
  <c r="I87" i="1"/>
  <c r="I88" i="1"/>
  <c r="I89" i="1"/>
  <c r="I90" i="1"/>
  <c r="I91" i="1"/>
  <c r="I79" i="1"/>
  <c r="Y45" i="3"/>
  <c r="Y44" i="3"/>
  <c r="Y43" i="3"/>
  <c r="Y42" i="3"/>
  <c r="Y39" i="3"/>
  <c r="Y37" i="3"/>
  <c r="Y36" i="3"/>
  <c r="Y35" i="3"/>
  <c r="Y34" i="3"/>
  <c r="Y33" i="3"/>
  <c r="Y31" i="3"/>
  <c r="Y30" i="3"/>
  <c r="Y29" i="3"/>
  <c r="I66" i="1"/>
  <c r="H66" i="1" s="1"/>
  <c r="F29" i="3"/>
  <c r="E29" i="1" s="1"/>
  <c r="F29" i="1" s="1"/>
  <c r="F30" i="3"/>
  <c r="E27" i="1" s="1"/>
  <c r="F27" i="1" s="1"/>
  <c r="F31" i="3"/>
  <c r="E2" i="1" s="1"/>
  <c r="F2" i="1" s="1"/>
  <c r="F32" i="3"/>
  <c r="E8" i="1" s="1"/>
  <c r="F8" i="1" s="1"/>
  <c r="F33" i="3"/>
  <c r="E41" i="1" s="1"/>
  <c r="F41" i="1" s="1"/>
  <c r="F34" i="3"/>
  <c r="E33" i="1" s="1"/>
  <c r="F33" i="1" s="1"/>
  <c r="F35" i="3"/>
  <c r="E42" i="1" s="1"/>
  <c r="F42" i="1" s="1"/>
  <c r="F36" i="3"/>
  <c r="E43" i="1" s="1"/>
  <c r="F43" i="1" s="1"/>
  <c r="F37" i="3"/>
  <c r="E14" i="1" s="1"/>
  <c r="F14" i="1" s="1"/>
  <c r="F38" i="3"/>
  <c r="E22" i="1" s="1"/>
  <c r="F22" i="1" s="1"/>
  <c r="F39" i="3"/>
  <c r="E11" i="1" s="1"/>
  <c r="F11" i="1" s="1"/>
  <c r="F40" i="3"/>
  <c r="E25" i="1" s="1"/>
  <c r="F25" i="1" s="1"/>
  <c r="F41" i="3"/>
  <c r="E47" i="1" s="1"/>
  <c r="F47" i="1" s="1"/>
  <c r="F42" i="3"/>
  <c r="E51" i="1" s="1"/>
  <c r="F51" i="1" s="1"/>
  <c r="F43" i="3"/>
  <c r="E10" i="1" s="1"/>
  <c r="F10" i="1" s="1"/>
  <c r="F44" i="3"/>
  <c r="E46" i="1" s="1"/>
  <c r="F46" i="1" s="1"/>
  <c r="F45" i="3"/>
  <c r="E30" i="1" s="1"/>
  <c r="F30" i="1" s="1"/>
  <c r="F46" i="3"/>
  <c r="E12" i="1" s="1"/>
  <c r="F12" i="1" s="1"/>
  <c r="F47" i="3"/>
  <c r="E26" i="1" s="1"/>
  <c r="F26" i="1" s="1"/>
  <c r="F48" i="3"/>
  <c r="E34" i="1" s="1"/>
  <c r="F34" i="1" s="1"/>
  <c r="F49" i="3"/>
  <c r="E24" i="1" s="1"/>
  <c r="F24" i="1" s="1"/>
  <c r="F50" i="3"/>
  <c r="E31" i="1" s="1"/>
  <c r="F31" i="1" s="1"/>
  <c r="F51" i="3"/>
  <c r="E19" i="1" s="1"/>
  <c r="F19" i="1" s="1"/>
  <c r="F52" i="3"/>
  <c r="E50" i="1" s="1"/>
  <c r="F50" i="1" s="1"/>
  <c r="F53" i="3"/>
  <c r="E28" i="1" s="1"/>
  <c r="F28" i="1" s="1"/>
  <c r="F54" i="3"/>
  <c r="E6" i="1" s="1"/>
  <c r="F6" i="1" s="1"/>
  <c r="F55" i="3"/>
  <c r="E38" i="1" s="1"/>
  <c r="F38" i="1" s="1"/>
  <c r="F56" i="3"/>
  <c r="E53" i="1" s="1"/>
  <c r="F53" i="1" s="1"/>
  <c r="F57" i="3"/>
  <c r="E54" i="1" s="1"/>
  <c r="F54" i="1" s="1"/>
  <c r="F58" i="3"/>
  <c r="E55" i="1" s="1"/>
  <c r="F55" i="1" s="1"/>
  <c r="F59" i="3"/>
  <c r="E57" i="1" s="1"/>
  <c r="F57" i="1" s="1"/>
  <c r="F60" i="3"/>
  <c r="E58" i="1" s="1"/>
  <c r="F58" i="1" s="1"/>
  <c r="F61" i="3"/>
  <c r="E5" i="1" s="1"/>
  <c r="F5" i="1" s="1"/>
  <c r="F62" i="3"/>
  <c r="E44" i="1" s="1"/>
  <c r="F44" i="1" s="1"/>
  <c r="F63" i="3"/>
  <c r="E4" i="1" s="1"/>
  <c r="F4" i="1" s="1"/>
  <c r="F64" i="3"/>
  <c r="E40" i="1" s="1"/>
  <c r="F40" i="1" s="1"/>
  <c r="F65" i="3"/>
  <c r="E3" i="1" s="1"/>
  <c r="F3" i="1" s="1"/>
  <c r="F66" i="3"/>
  <c r="E36" i="1" s="1"/>
  <c r="F36" i="1" s="1"/>
  <c r="F67" i="3"/>
  <c r="E35" i="1" s="1"/>
  <c r="F35" i="1" s="1"/>
  <c r="F68" i="3"/>
  <c r="E18" i="1" s="1"/>
  <c r="F18" i="1" s="1"/>
  <c r="F69" i="3"/>
  <c r="E45" i="1" s="1"/>
  <c r="F45" i="1" s="1"/>
  <c r="F70" i="3"/>
  <c r="E39" i="1" s="1"/>
  <c r="F39" i="1" s="1"/>
  <c r="F71" i="3"/>
  <c r="E17" i="1" s="1"/>
  <c r="F17" i="1" s="1"/>
  <c r="F72" i="3"/>
  <c r="E20" i="1" s="1"/>
  <c r="F20" i="1" s="1"/>
  <c r="F73" i="3"/>
  <c r="E7" i="1" s="1"/>
  <c r="F7" i="1" s="1"/>
  <c r="F74" i="3"/>
  <c r="E52" i="1" s="1"/>
  <c r="F52" i="1" s="1"/>
  <c r="F75" i="3"/>
  <c r="E37" i="1" s="1"/>
  <c r="F37" i="1" s="1"/>
  <c r="F76" i="3"/>
  <c r="E49" i="1" s="1"/>
  <c r="F49" i="1" s="1"/>
  <c r="F77" i="3"/>
  <c r="E16" i="1" s="1"/>
  <c r="F16" i="1" s="1"/>
  <c r="F78" i="3"/>
  <c r="E21" i="1" s="1"/>
  <c r="F21" i="1" s="1"/>
  <c r="F79" i="3"/>
  <c r="F28" i="3"/>
  <c r="E32" i="1" s="1"/>
  <c r="F32" i="1" s="1"/>
  <c r="F149" i="1"/>
  <c r="F148" i="1"/>
  <c r="F147" i="1"/>
  <c r="M104" i="3"/>
  <c r="L106" i="3"/>
  <c r="L105" i="3"/>
  <c r="L104" i="3"/>
  <c r="F67" i="1"/>
  <c r="E67" i="1"/>
  <c r="G24" i="3"/>
  <c r="F66" i="1"/>
  <c r="D140" i="1"/>
  <c r="F140" i="1" s="1"/>
  <c r="F139" i="1"/>
</calcChain>
</file>

<file path=xl/sharedStrings.xml><?xml version="1.0" encoding="utf-8"?>
<sst xmlns="http://schemas.openxmlformats.org/spreadsheetml/2006/main" count="1789" uniqueCount="655">
  <si>
    <t>Location description</t>
  </si>
  <si>
    <t>subgroup</t>
  </si>
  <si>
    <t>area_km2</t>
  </si>
  <si>
    <t>tds_ppm</t>
  </si>
  <si>
    <t>runoff_mm_yr</t>
  </si>
  <si>
    <t>tds_mg_l</t>
  </si>
  <si>
    <t>tss_mg_l</t>
  </si>
  <si>
    <t>Na_mM</t>
  </si>
  <si>
    <t>K_mM</t>
  </si>
  <si>
    <t>Ca_mM</t>
  </si>
  <si>
    <t>Mg_mM</t>
  </si>
  <si>
    <t>Cl_mM</t>
  </si>
  <si>
    <t>SO4_mM</t>
  </si>
  <si>
    <t>HCO3_mM</t>
  </si>
  <si>
    <t>SiO2_mM</t>
  </si>
  <si>
    <t>Sr_mM</t>
  </si>
  <si>
    <t>Sr_ratio</t>
  </si>
  <si>
    <t>Paper</t>
  </si>
  <si>
    <t>Irrawady</t>
  </si>
  <si>
    <t>major</t>
  </si>
  <si>
    <t>Gaillardet et al 1999</t>
  </si>
  <si>
    <t>Purari</t>
  </si>
  <si>
    <t>Narmada</t>
  </si>
  <si>
    <t>Sepik</t>
  </si>
  <si>
    <t>Rhone</t>
  </si>
  <si>
    <t>Cauveri</t>
  </si>
  <si>
    <t>Ganges</t>
  </si>
  <si>
    <t>Wisla</t>
  </si>
  <si>
    <t>Rhine</t>
  </si>
  <si>
    <t>Brahmaputra</t>
  </si>
  <si>
    <t>Magdalena</t>
  </si>
  <si>
    <t>Danube</t>
  </si>
  <si>
    <t>Xijiang</t>
  </si>
  <si>
    <t>Weser</t>
  </si>
  <si>
    <t>24 957</t>
  </si>
  <si>
    <t>35 229</t>
  </si>
  <si>
    <t>Kikori</t>
  </si>
  <si>
    <t>Uruguay</t>
  </si>
  <si>
    <t>Krishna</t>
  </si>
  <si>
    <t>N. Dvina</t>
  </si>
  <si>
    <t>Kuskokwin</t>
  </si>
  <si>
    <t>Limpopo</t>
  </si>
  <si>
    <t>Ob</t>
  </si>
  <si>
    <t>Salween</t>
  </si>
  <si>
    <t>Don</t>
  </si>
  <si>
    <t>Parana</t>
  </si>
  <si>
    <t>Columbia</t>
  </si>
  <si>
    <t>Mississippi</t>
  </si>
  <si>
    <t>Huanghe</t>
  </si>
  <si>
    <t>26 900</t>
  </si>
  <si>
    <t>Changjiang</t>
  </si>
  <si>
    <t>Orinoco</t>
  </si>
  <si>
    <t>Nelson</t>
  </si>
  <si>
    <t>Amazon</t>
  </si>
  <si>
    <t>Mackenzie</t>
  </si>
  <si>
    <t>Indus</t>
  </si>
  <si>
    <t>Kolima</t>
  </si>
  <si>
    <t>Fraser</t>
  </si>
  <si>
    <t>Khatanga</t>
  </si>
  <si>
    <t>Shatt el arab</t>
  </si>
  <si>
    <t>Niger</t>
  </si>
  <si>
    <t>Murray Darling</t>
  </si>
  <si>
    <t>St. Lawrence</t>
  </si>
  <si>
    <t>Lena</t>
  </si>
  <si>
    <t>Nile</t>
  </si>
  <si>
    <t>Pechora</t>
  </si>
  <si>
    <t>Yukon</t>
  </si>
  <si>
    <t>Mekong</t>
  </si>
  <si>
    <t>Godavari</t>
  </si>
  <si>
    <t>Seine</t>
  </si>
  <si>
    <t>Amur</t>
  </si>
  <si>
    <t>Zambese</t>
  </si>
  <si>
    <t>Hong He</t>
  </si>
  <si>
    <t>Po</t>
  </si>
  <si>
    <t>Fly</t>
  </si>
  <si>
    <t>Elbe</t>
  </si>
  <si>
    <t>Tocantins</t>
  </si>
  <si>
    <t>Dnepr</t>
  </si>
  <si>
    <t>Panuco</t>
  </si>
  <si>
    <t>Mahanadi</t>
  </si>
  <si>
    <t>Odra</t>
  </si>
  <si>
    <t>Ebro</t>
  </si>
  <si>
    <t>Nemanus</t>
  </si>
  <si>
    <t>basalt</t>
  </si>
  <si>
    <t>New Zealand</t>
  </si>
  <si>
    <t>Kamchatka</t>
  </si>
  <si>
    <t>Geneva River (ds)</t>
  </si>
  <si>
    <t>Dominica</t>
  </si>
  <si>
    <t>Goldsmith et al 2010</t>
  </si>
  <si>
    <t>Rosalie River</t>
  </si>
  <si>
    <t>La Ronde River</t>
  </si>
  <si>
    <t>Mahaut River</t>
  </si>
  <si>
    <t>Layou</t>
  </si>
  <si>
    <t>St. Joseph's River</t>
  </si>
  <si>
    <t>Bateli River</t>
  </si>
  <si>
    <t>Dublanc</t>
  </si>
  <si>
    <t>Blenheim River</t>
  </si>
  <si>
    <t>Hampstead River</t>
  </si>
  <si>
    <t>Pagua River (ds)</t>
  </si>
  <si>
    <t>Waitara (ds)</t>
  </si>
  <si>
    <t>Goldsmith et al 2008</t>
  </si>
  <si>
    <t>Manganui (ds)</t>
  </si>
  <si>
    <t>Manganui (us)</t>
  </si>
  <si>
    <t>Mangamawhete</t>
  </si>
  <si>
    <t>Waingongoro (us)</t>
  </si>
  <si>
    <t>Waingongoro (ds)</t>
  </si>
  <si>
    <t>Patea (us)</t>
  </si>
  <si>
    <t>Waitara (us)</t>
  </si>
  <si>
    <t>Kai-Iwi</t>
  </si>
  <si>
    <t>Whanganui</t>
  </si>
  <si>
    <t>Whangaehu</t>
  </si>
  <si>
    <t>Rangitikei</t>
  </si>
  <si>
    <t>Otaki</t>
  </si>
  <si>
    <t>Guadeloupe (area from Wiki)</t>
  </si>
  <si>
    <t>Lesser Antilles</t>
  </si>
  <si>
    <t>Rad et al 2006</t>
  </si>
  <si>
    <t>Martinique (area from Wiki)</t>
  </si>
  <si>
    <t>Kolar</t>
  </si>
  <si>
    <t>Deccan Traps</t>
  </si>
  <si>
    <t>Dessert et al 2001</t>
  </si>
  <si>
    <t>Ganjal</t>
  </si>
  <si>
    <t>Machak</t>
  </si>
  <si>
    <t>Khagni</t>
  </si>
  <si>
    <t>Chotatawa</t>
  </si>
  <si>
    <t>Tapti</t>
  </si>
  <si>
    <t>Purna</t>
  </si>
  <si>
    <t>Bori</t>
  </si>
  <si>
    <t>Aranawati</t>
  </si>
  <si>
    <t>Aner</t>
  </si>
  <si>
    <t>Wagurr</t>
  </si>
  <si>
    <t>Naglanga</t>
  </si>
  <si>
    <t>Mun</t>
  </si>
  <si>
    <t>Wardha</t>
  </si>
  <si>
    <t>Jam</t>
  </si>
  <si>
    <t>Kulbakera</t>
  </si>
  <si>
    <t>Pench</t>
  </si>
  <si>
    <t>Deccan Trap mean</t>
  </si>
  <si>
    <t>Preto River Basin, Parana flood basalts</t>
  </si>
  <si>
    <t>Brazil</t>
  </si>
  <si>
    <t>da Conceição et al. 2015</t>
  </si>
  <si>
    <t>Bras de Cilaos</t>
  </si>
  <si>
    <t>Reunion Is.</t>
  </si>
  <si>
    <t>Riviere du Mat</t>
  </si>
  <si>
    <t>Riviere des Galets</t>
  </si>
  <si>
    <t>Rivere Langevin</t>
  </si>
  <si>
    <t>Riviere de I'Est</t>
  </si>
  <si>
    <t>Rivere des Marsouins</t>
  </si>
  <si>
    <t>Ethiopia</t>
  </si>
  <si>
    <t>Dessert et al 2003</t>
  </si>
  <si>
    <t>Siberia</t>
  </si>
  <si>
    <t>SE Asia/Indonesia</t>
  </si>
  <si>
    <t>Deccan</t>
  </si>
  <si>
    <t>Japan/E Russia</t>
  </si>
  <si>
    <t>Australia/Tasmania</t>
  </si>
  <si>
    <t>Central America</t>
  </si>
  <si>
    <t>Arabic Peninsula</t>
  </si>
  <si>
    <t>South Africa</t>
  </si>
  <si>
    <t>Patagonia</t>
  </si>
  <si>
    <t>Columbia River</t>
  </si>
  <si>
    <t>Iceland</t>
  </si>
  <si>
    <t>Greenland</t>
  </si>
  <si>
    <t>Cascade/Snake River</t>
  </si>
  <si>
    <t>E Canada</t>
  </si>
  <si>
    <t>Other (Antarctica not included)</t>
  </si>
  <si>
    <t>Cation data from Java, Sao Miguel, Reunion, Hawaii
Area estimate from Gaillardet and Dessert</t>
  </si>
  <si>
    <t>total</t>
  </si>
  <si>
    <t>All basalts</t>
  </si>
  <si>
    <t>Basalt provinces + volcanic arcs</t>
  </si>
  <si>
    <t>co2_cons_mol_yr</t>
  </si>
  <si>
    <t>co2_cons_mol_km2_yr</t>
  </si>
  <si>
    <t>location</t>
  </si>
  <si>
    <r>
      <t>yr</t>
    </r>
    <r>
      <rPr>
        <vertAlign val="superscript"/>
        <sz val="8"/>
        <color theme="1"/>
        <rFont val="Garamond"/>
        <family val="1"/>
      </rPr>
      <t>—</t>
    </r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Calibri"/>
        <family val="2"/>
      </rPr>
      <t>)</t>
    </r>
  </si>
  <si>
    <r>
      <t>yr</t>
    </r>
    <r>
      <rPr>
        <vertAlign val="superscript"/>
        <sz val="8"/>
        <color theme="1"/>
        <rFont val="Garamond"/>
        <family val="1"/>
      </rPr>
      <t>—</t>
    </r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Calibri"/>
        <family val="2"/>
      </rPr>
      <t>)</t>
    </r>
  </si>
  <si>
    <t>Yenisei</t>
  </si>
  <si>
    <t>Congo–Zaire</t>
  </si>
  <si>
    <t>Shatt el Arab</t>
  </si>
  <si>
    <t>World average</t>
  </si>
  <si>
    <t>12 300</t>
  </si>
  <si>
    <t>Schopka et al 2011</t>
  </si>
  <si>
    <t>Philippines</t>
  </si>
  <si>
    <t>Zambales and Angat</t>
  </si>
  <si>
    <t>Volcanic, all</t>
  </si>
  <si>
    <t>volcanic</t>
  </si>
  <si>
    <t>Small volcanic islands</t>
  </si>
  <si>
    <t>Puerto Rico</t>
  </si>
  <si>
    <t>ultramafic</t>
  </si>
  <si>
    <t>converted from 70 tons CO2 km-2 yr-1</t>
  </si>
  <si>
    <t>Watershed</t>
  </si>
  <si>
    <t>degrees</t>
  </si>
  <si>
    <r>
      <t>yr</t>
    </r>
    <r>
      <rPr>
        <sz val="5"/>
        <color rgb="FF000000"/>
        <rFont val="Arial"/>
        <family val="2"/>
      </rPr>
      <t>−1</t>
    </r>
  </si>
  <si>
    <t>°C</t>
  </si>
  <si>
    <r>
      <t>cm yr</t>
    </r>
    <r>
      <rPr>
        <sz val="5"/>
        <color rgb="FF000000"/>
        <rFont val="Arial"/>
        <family val="2"/>
      </rPr>
      <t>−1</t>
    </r>
  </si>
  <si>
    <r>
      <t>km</t>
    </r>
    <r>
      <rPr>
        <sz val="5"/>
        <color rgb="FF000000"/>
        <rFont val="Arial"/>
        <family val="2"/>
      </rPr>
      <t>2</t>
    </r>
  </si>
  <si>
    <t>m asl</t>
  </si>
  <si>
    <r>
      <t>μg g</t>
    </r>
    <r>
      <rPr>
        <sz val="5"/>
        <color rgb="FF000000"/>
        <rFont val="Arial"/>
        <family val="2"/>
      </rPr>
      <t>−1</t>
    </r>
  </si>
  <si>
    <r>
      <t>tons km</t>
    </r>
    <r>
      <rPr>
        <sz val="5"/>
        <color rgb="FF000000"/>
        <rFont val="Arial"/>
        <family val="2"/>
      </rPr>
      <t>−2 </t>
    </r>
    <r>
      <rPr>
        <sz val="8"/>
        <color rgb="FF000000"/>
        <rFont val="Arial"/>
        <family val="2"/>
      </rPr>
      <t>yr</t>
    </r>
    <r>
      <rPr>
        <sz val="5"/>
        <color rgb="FF000000"/>
        <rFont val="Arial"/>
        <family val="2"/>
      </rPr>
      <t>−1</t>
    </r>
  </si>
  <si>
    <t>–</t>
  </si>
  <si>
    <r>
      <t>μg cm</t>
    </r>
    <r>
      <rPr>
        <sz val="5"/>
        <color rgb="FF000000"/>
        <rFont val="Arial"/>
        <family val="2"/>
      </rPr>
      <t>−3</t>
    </r>
  </si>
  <si>
    <t>S1</t>
  </si>
  <si>
    <t>−66.9362</t>
  </si>
  <si>
    <t>46.9 ± 1.6</t>
  </si>
  <si>
    <t>76.7 ± 1.7</t>
  </si>
  <si>
    <t>49.8 ± 1.7</t>
  </si>
  <si>
    <t>81.4 ± 1.8</t>
  </si>
  <si>
    <t>0.37 ± 0.14</t>
  </si>
  <si>
    <t>0.26 ± 0.17</t>
  </si>
  <si>
    <t>0.58 ± 0.36</t>
  </si>
  <si>
    <t>0.06 ± 0.06</t>
  </si>
  <si>
    <t>108 ± 12</t>
  </si>
  <si>
    <t>102 ± 12</t>
  </si>
  <si>
    <t>S3a</t>
  </si>
  <si>
    <t>−66.9133</t>
  </si>
  <si>
    <t>155 ± 5</t>
  </si>
  <si>
    <t>221 ± 5</t>
  </si>
  <si>
    <t>31.5 ± 1.1</t>
  </si>
  <si>
    <t>45.0 ± 1.1</t>
  </si>
  <si>
    <t>0.75 ± 0.01</t>
  </si>
  <si>
    <t>0.84 ± 0.01</t>
  </si>
  <si>
    <t>2.99 ± 0.20</t>
  </si>
  <si>
    <t>0.92 ± 0.08</t>
  </si>
  <si>
    <t>25 ± 3</t>
  </si>
  <si>
    <t>123 ± 13</t>
  </si>
  <si>
    <t>S4a</t>
  </si>
  <si>
    <t>−66.9125</t>
  </si>
  <si>
    <t>156 ± 4</t>
  </si>
  <si>
    <t>236 ± 4</t>
  </si>
  <si>
    <t>29.9 ± 0.8</t>
  </si>
  <si>
    <t>45.1 ± 0.9</t>
  </si>
  <si>
    <t>0.85 ± 0.04</t>
  </si>
  <si>
    <t>0.91 ± 0.03</t>
  </si>
  <si>
    <t>5.53 ± 1.55</t>
  </si>
  <si>
    <t>1.81 ± 0.49</t>
  </si>
  <si>
    <t>22 ± 3</t>
  </si>
  <si>
    <t>116 ± 13</t>
  </si>
  <si>
    <t>S5</t>
  </si>
  <si>
    <t>−66.9563</t>
  </si>
  <si>
    <t>118 ± 4</t>
  </si>
  <si>
    <t>166 ± 4</t>
  </si>
  <si>
    <t>57.1 ± 2.0</t>
  </si>
  <si>
    <t>80.5 ± 2.1</t>
  </si>
  <si>
    <t>0.55 ± 0.08</t>
  </si>
  <si>
    <t>0.66 ± 0.08</t>
  </si>
  <si>
    <t>1.20 ± 0.37</t>
  </si>
  <si>
    <t>0.39 ± 0.11</t>
  </si>
  <si>
    <t>47 ± 5</t>
  </si>
  <si>
    <t>97 ± 10</t>
  </si>
  <si>
    <t>S6</t>
  </si>
  <si>
    <t>−66.9623</t>
  </si>
  <si>
    <t>95.6 ± 4.5</t>
  </si>
  <si>
    <t>137 ± 5</t>
  </si>
  <si>
    <t>50.3 ± 2.4</t>
  </si>
  <si>
    <t>72.3 ± 2.4</t>
  </si>
  <si>
    <t>0.66 ± 0.01</t>
  </si>
  <si>
    <t>0.76 ± 0.01</t>
  </si>
  <si>
    <t>1.96 ± 0.10</t>
  </si>
  <si>
    <t>0.70 ± 0.04</t>
  </si>
  <si>
    <t>30 ± 3</t>
  </si>
  <si>
    <t>56 ± 7</t>
  </si>
  <si>
    <t>S7</t>
  </si>
  <si>
    <t>−66.9681</t>
  </si>
  <si>
    <t>72.9 ± 2.8</t>
  </si>
  <si>
    <t>110 ± 3</t>
  </si>
  <si>
    <t>60.0 ± 2.3</t>
  </si>
  <si>
    <t>90.9 ± 2.4</t>
  </si>
  <si>
    <t>0.34 ± 0.25</t>
  </si>
  <si>
    <t>0.45 ± 0.29</t>
  </si>
  <si>
    <t>0.51 ± 0.57</t>
  </si>
  <si>
    <t>0.23 ± 0.19</t>
  </si>
  <si>
    <t>49 ± 5</t>
  </si>
  <si>
    <t>60 ± 6</t>
  </si>
  <si>
    <t>S8</t>
  </si>
  <si>
    <t>−66.9815</t>
  </si>
  <si>
    <t>67.0 ± 1.6</t>
  </si>
  <si>
    <t>103 ± 2</t>
  </si>
  <si>
    <t>52.1 ± 1.2</t>
  </si>
  <si>
    <t>80.0 ± 1.4</t>
  </si>
  <si>
    <t>0.75 ± 0.10</t>
  </si>
  <si>
    <t>0.78 ± 0.13</t>
  </si>
  <si>
    <t>3.03 ± 1.69</t>
  </si>
  <si>
    <t>1.09 ± 0.59</t>
  </si>
  <si>
    <t>107 ± 11</t>
  </si>
  <si>
    <t>138 ± 15</t>
  </si>
  <si>
    <t>S11</t>
  </si>
  <si>
    <t>−66.9987</t>
  </si>
  <si>
    <t>74.0 ± 1.8</t>
  </si>
  <si>
    <t>112 ± 2</t>
  </si>
  <si>
    <t>94.8 ± 2.3</t>
  </si>
  <si>
    <t>143 ± 2</t>
  </si>
  <si>
    <t>0.69 ± 0.01</t>
  </si>
  <si>
    <t>0.79 ± 0.01</t>
  </si>
  <si>
    <t>2.19 ± 0.08</t>
  </si>
  <si>
    <t>0.80 ± 0.03</t>
  </si>
  <si>
    <t>41 ± 4</t>
  </si>
  <si>
    <t>32 ± 3</t>
  </si>
  <si>
    <t>S12</t>
  </si>
  <si>
    <t>−67.0199</t>
  </si>
  <si>
    <t>62.2 ± 1.9</t>
  </si>
  <si>
    <t>98.7 ± 2.1</t>
  </si>
  <si>
    <t>77.6 ± 2.4</t>
  </si>
  <si>
    <t>123 ± 3</t>
  </si>
  <si>
    <t>0.76 ± 0.02</t>
  </si>
  <si>
    <t>0.88 ± 0.01</t>
  </si>
  <si>
    <t>3.08 ± 0.25</t>
  </si>
  <si>
    <t>1.15 ± 0.08</t>
  </si>
  <si>
    <t>69 ± 6</t>
  </si>
  <si>
    <t>55 ± 5</t>
  </si>
  <si>
    <t>S13</t>
  </si>
  <si>
    <t>−67.0357</t>
  </si>
  <si>
    <t>63.1 ± 2.9</t>
  </si>
  <si>
    <t>98.7 ± 3.0</t>
  </si>
  <si>
    <t>72.3 ± 3.3</t>
  </si>
  <si>
    <t>113 ± 3</t>
  </si>
  <si>
    <t>0.67 ± 0.04</t>
  </si>
  <si>
    <t>0.77 ± 0.04</t>
  </si>
  <si>
    <t>2.06 ± 0.40</t>
  </si>
  <si>
    <t>0.70 ± 0.12</t>
  </si>
  <si>
    <t>109 ± 11</t>
  </si>
  <si>
    <t>95 ± 10</t>
  </si>
  <si>
    <t>S14</t>
  </si>
  <si>
    <t>−67.0027</t>
  </si>
  <si>
    <t>52.0 ± 1.2</t>
  </si>
  <si>
    <t>82.9 ± 1.4</t>
  </si>
  <si>
    <t>87.7 ± 2.1</t>
  </si>
  <si>
    <t>140 ± 2</t>
  </si>
  <si>
    <t>0.88 ± 0.02</t>
  </si>
  <si>
    <t>0.94 ± 0.01</t>
  </si>
  <si>
    <t>7.49 ± 1.16</t>
  </si>
  <si>
    <t>2.54 ± 0.37</t>
  </si>
  <si>
    <t>53 ± 5</t>
  </si>
  <si>
    <t>31 ± 3</t>
  </si>
  <si>
    <t>Moore et al 2025</t>
  </si>
  <si>
    <t>Moore et al 2024</t>
  </si>
  <si>
    <t>Ultramafics</t>
  </si>
  <si>
    <t>converted from 33 Mt CO2 yr-1</t>
  </si>
  <si>
    <t>Monte del Estado</t>
  </si>
  <si>
    <t>Louvat and Allegre 1997</t>
  </si>
  <si>
    <t>Frondini et al 2019</t>
  </si>
  <si>
    <r>
      <t xml:space="preserve">Drainage </t>
    </r>
    <r>
      <rPr>
        <b/>
        <sz val="7"/>
        <color theme="1"/>
        <rFont val="Palatino Linotype"/>
        <family val="1"/>
      </rPr>
      <t xml:space="preserve">1 2 </t>
    </r>
    <r>
      <rPr>
        <b/>
        <sz val="9"/>
        <color theme="1"/>
        <rFont val="Palatino Linotype"/>
        <family val="1"/>
      </rPr>
      <t>Mean</t>
    </r>
  </si>
  <si>
    <t>Minimum Elevation</t>
  </si>
  <si>
    <t>Maximum Elevation</t>
  </si>
  <si>
    <t>(m a.s.l)</t>
  </si>
  <si>
    <t>Teiro</t>
  </si>
  <si>
    <t>Teiro 1</t>
  </si>
  <si>
    <t>Teiro 2</t>
  </si>
  <si>
    <t>Teiro 3</t>
  </si>
  <si>
    <t>Arrestra</t>
  </si>
  <si>
    <t>Arrestra 1</t>
  </si>
  <si>
    <t>Arrestra 2</t>
  </si>
  <si>
    <t>Arrestra 3</t>
  </si>
  <si>
    <t>Orba</t>
  </si>
  <si>
    <t>Orba 1</t>
  </si>
  <si>
    <t>Orba 2</t>
  </si>
  <si>
    <t>Orba 3</t>
  </si>
  <si>
    <t>Orba 4</t>
  </si>
  <si>
    <t xml:space="preserve">Sub-Basin </t>
  </si>
  <si>
    <t xml:space="preserve">Basin  </t>
  </si>
  <si>
    <t>Elevation</t>
  </si>
  <si>
    <t>Area</t>
  </si>
  <si>
    <t>km2</t>
  </si>
  <si>
    <r>
      <t>Basin</t>
    </r>
    <r>
      <rPr>
        <i/>
        <sz val="8"/>
        <color theme="1"/>
        <rFont val="Palatino Linotype"/>
        <family val="1"/>
      </rPr>
      <t xml:space="preserve">/ </t>
    </r>
    <r>
      <rPr>
        <b/>
        <sz val="8"/>
        <color theme="1"/>
        <rFont val="Palatino Linotype"/>
        <family val="1"/>
      </rPr>
      <t>Runo</t>
    </r>
    <r>
      <rPr>
        <i/>
        <sz val="8"/>
        <color theme="1"/>
        <rFont val="Palatino Linotype"/>
        <family val="1"/>
      </rPr>
      <t xml:space="preserve">ff </t>
    </r>
    <r>
      <rPr>
        <b/>
        <sz val="8"/>
        <color theme="1"/>
        <rFont val="Palatino Linotype"/>
        <family val="1"/>
      </rPr>
      <t>Sub-Basin</t>
    </r>
  </si>
  <si>
    <r>
      <t>L s</t>
    </r>
    <r>
      <rPr>
        <sz val="6"/>
        <color theme="1"/>
        <rFont val="Lucida Sans Unicode"/>
        <family val="2"/>
      </rPr>
      <t>−</t>
    </r>
    <r>
      <rPr>
        <b/>
        <sz val="6"/>
        <color theme="1"/>
        <rFont val="Palatino Linotype"/>
        <family val="1"/>
      </rPr>
      <t xml:space="preserve">1 </t>
    </r>
    <r>
      <rPr>
        <b/>
        <sz val="8"/>
        <color theme="1"/>
        <rFont val="Palatino Linotype"/>
        <family val="1"/>
      </rPr>
      <t>km</t>
    </r>
    <r>
      <rPr>
        <sz val="6"/>
        <color theme="1"/>
        <rFont val="Lucida Sans Unicode"/>
        <family val="2"/>
      </rPr>
      <t>−</t>
    </r>
    <r>
      <rPr>
        <b/>
        <sz val="6"/>
        <color theme="1"/>
        <rFont val="Palatino Linotype"/>
        <family val="1"/>
      </rPr>
      <t>2</t>
    </r>
  </si>
  <si>
    <t>Solute Flux</t>
  </si>
  <si>
    <r>
      <t>t km</t>
    </r>
    <r>
      <rPr>
        <sz val="6"/>
        <color theme="1"/>
        <rFont val="Lucida Sans Unicode"/>
        <family val="2"/>
      </rPr>
      <t>−</t>
    </r>
    <r>
      <rPr>
        <b/>
        <sz val="6"/>
        <color theme="1"/>
        <rFont val="Palatino Linotype"/>
        <family val="1"/>
      </rPr>
      <t xml:space="preserve">2 </t>
    </r>
    <r>
      <rPr>
        <b/>
        <sz val="8"/>
        <color theme="1"/>
        <rFont val="Palatino Linotype"/>
        <family val="1"/>
      </rPr>
      <t>y</t>
    </r>
    <r>
      <rPr>
        <sz val="6"/>
        <color theme="1"/>
        <rFont val="Lucida Sans Unicode"/>
        <family val="2"/>
      </rPr>
      <t>−</t>
    </r>
    <r>
      <rPr>
        <b/>
        <sz val="6"/>
        <color theme="1"/>
        <rFont val="Palatino Linotype"/>
        <family val="1"/>
      </rPr>
      <t>1</t>
    </r>
  </si>
  <si>
    <t>Weathering Rate</t>
  </si>
  <si>
    <r>
      <t>F</t>
    </r>
    <r>
      <rPr>
        <b/>
        <sz val="8"/>
        <color theme="1"/>
        <rFont val="Palatino Linotype"/>
        <family val="1"/>
      </rPr>
      <t>CO</t>
    </r>
    <r>
      <rPr>
        <b/>
        <vertAlign val="subscript"/>
        <sz val="8"/>
        <color theme="1"/>
        <rFont val="Palatino Linotype"/>
        <family val="1"/>
      </rPr>
      <t>2</t>
    </r>
    <r>
      <rPr>
        <b/>
        <sz val="8"/>
        <color theme="1"/>
        <rFont val="Palatino Linotype"/>
        <family val="1"/>
      </rPr>
      <t>-Sh</t>
    </r>
  </si>
  <si>
    <r>
      <t>mol km</t>
    </r>
    <r>
      <rPr>
        <sz val="6"/>
        <color theme="1"/>
        <rFont val="Lucida Sans Unicode"/>
        <family val="2"/>
      </rPr>
      <t>−</t>
    </r>
    <r>
      <rPr>
        <b/>
        <sz val="6"/>
        <color theme="1"/>
        <rFont val="Palatino Linotype"/>
        <family val="1"/>
      </rPr>
      <t xml:space="preserve">2 </t>
    </r>
    <r>
      <rPr>
        <b/>
        <sz val="8"/>
        <color theme="1"/>
        <rFont val="Palatino Linotype"/>
        <family val="1"/>
      </rPr>
      <t>y</t>
    </r>
    <r>
      <rPr>
        <sz val="6"/>
        <color theme="1"/>
        <rFont val="Lucida Sans Unicode"/>
        <family val="2"/>
      </rPr>
      <t>−</t>
    </r>
    <r>
      <rPr>
        <b/>
        <sz val="6"/>
        <color theme="1"/>
        <rFont val="Palatino Linotype"/>
        <family val="1"/>
      </rPr>
      <t>1</t>
    </r>
  </si>
  <si>
    <t>ort</t>
  </si>
  <si>
    <r>
      <t>F</t>
    </r>
    <r>
      <rPr>
        <b/>
        <sz val="8"/>
        <color theme="1"/>
        <rFont val="Palatino Linotype"/>
        <family val="1"/>
      </rPr>
      <t>CO</t>
    </r>
    <r>
      <rPr>
        <b/>
        <vertAlign val="subscript"/>
        <sz val="8"/>
        <color theme="1"/>
        <rFont val="Palatino Linotype"/>
        <family val="1"/>
      </rPr>
      <t>2</t>
    </r>
    <r>
      <rPr>
        <b/>
        <sz val="8"/>
        <color theme="1"/>
        <rFont val="Palatino Linotype"/>
        <family val="1"/>
      </rPr>
      <t>-Lo</t>
    </r>
  </si>
  <si>
    <t>ng</t>
  </si>
  <si>
    <r>
      <t>Arrestra 1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1.7</t>
    </r>
  </si>
  <si>
    <r>
      <t xml:space="preserve">5.96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</si>
  <si>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2.25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</si>
  <si>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Arrestra 2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21.3</t>
    </r>
  </si>
  <si>
    <r>
      <t xml:space="preserve">5.44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</si>
  <si>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2.72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</si>
  <si>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Arrestra 3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8.3</t>
    </r>
  </si>
  <si>
    <r>
      <t xml:space="preserve">5.84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</si>
  <si>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2.30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</si>
  <si>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weighted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7.5</t>
    </r>
  </si>
  <si>
    <r>
      <t xml:space="preserve">2.68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</si>
  <si>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1.19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</si>
  <si>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Teiro 1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15.5</t>
    </r>
  </si>
  <si>
    <r>
      <t xml:space="preserve">3.84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</si>
  <si>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8.53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</si>
  <si>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Teiro 2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2.1</t>
    </r>
  </si>
  <si>
    <r>
      <t xml:space="preserve">9.56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</si>
  <si>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 xml:space="preserve">3.55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</si>
  <si>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Teiro 3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10.9</t>
    </r>
  </si>
  <si>
    <r>
      <t xml:space="preserve">5.35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</si>
  <si>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1.85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</si>
  <si>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3.24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</si>
  <si>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1.08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</si>
  <si>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Orba 1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15.0</t>
    </r>
  </si>
  <si>
    <r>
      <t xml:space="preserve">1.51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</si>
  <si>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6.02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</si>
  <si>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Orba 2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7.0</t>
    </r>
  </si>
  <si>
    <r>
      <t xml:space="preserve">1.28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</si>
  <si>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6.10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</si>
  <si>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Orba 3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6.8</t>
    </r>
  </si>
  <si>
    <r>
      <t xml:space="preserve">1.15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</si>
  <si>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5.55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</si>
  <si>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Orba 4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6.5</t>
    </r>
  </si>
  <si>
    <r>
      <t xml:space="preserve">1.23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</si>
  <si>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5.84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</si>
  <si>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weighted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6.8</t>
    </r>
  </si>
  <si>
    <r>
      <t xml:space="preserve">1.22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</si>
  <si>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5.81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</si>
  <si>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Arrestra 1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17.1</t>
    </r>
  </si>
  <si>
    <r>
      <t xml:space="preserve">3.38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</si>
  <si>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1.42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</si>
  <si>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Arrestra 2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42.6</t>
    </r>
  </si>
  <si>
    <r>
      <t xml:space="preserve">9.45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</si>
  <si>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4.71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</si>
  <si>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Arrestra 3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27.8</t>
    </r>
  </si>
  <si>
    <r>
      <t xml:space="preserve">1.12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6</t>
    </r>
  </si>
  <si>
    <r>
      <t xml:space="preserve">4.18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</si>
  <si>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weighted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25.0</t>
    </r>
  </si>
  <si>
    <r>
      <t xml:space="preserve">5.91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</si>
  <si>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2.69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</si>
  <si>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Teiro 1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51.7</t>
    </r>
  </si>
  <si>
    <r>
      <t xml:space="preserve">9.37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</si>
  <si>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2.45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</si>
  <si>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Teiro 2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4.3</t>
    </r>
  </si>
  <si>
    <r>
      <t xml:space="preserve">8.35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</si>
  <si>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 xml:space="preserve">4.17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</si>
  <si>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Teiro 3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6.7</t>
    </r>
  </si>
  <si>
    <r>
      <t xml:space="preserve">4.97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</si>
  <si>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1.56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</si>
  <si>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weighted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10.6</t>
    </r>
  </si>
  <si>
    <r>
      <t xml:space="preserve">3.48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</si>
  <si>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Orba 1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50.0</t>
    </r>
  </si>
  <si>
    <r>
      <t xml:space="preserve">4.90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</si>
  <si>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2.04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</si>
  <si>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Orba 2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18.7</t>
    </r>
  </si>
  <si>
    <r>
      <t xml:space="preserve">2.16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</si>
  <si>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1.06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</si>
  <si>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>Orba 3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13.7</t>
    </r>
  </si>
  <si>
    <r>
      <t xml:space="preserve">1.62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</si>
  <si>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7.80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</si>
  <si>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Orba 4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13.5</t>
    </r>
  </si>
  <si>
    <r>
      <t xml:space="preserve">1.13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5</t>
    </r>
  </si>
  <si>
    <r>
      <t xml:space="preserve">5.66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</si>
  <si>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r>
      <t>weighted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Palatino Linotype"/>
        <family val="1"/>
      </rPr>
      <t>15.5</t>
    </r>
  </si>
  <si>
    <r>
      <t xml:space="preserve">8.03 </t>
    </r>
    <r>
      <rPr>
        <sz val="8"/>
        <color theme="1"/>
        <rFont val="Lucida Sans Unicode"/>
        <family val="2"/>
      </rPr>
      <t xml:space="preserve">× </t>
    </r>
    <r>
      <rPr>
        <sz val="8"/>
        <color theme="1"/>
        <rFont val="Palatino Linotype"/>
        <family val="1"/>
      </rPr>
      <t>10</t>
    </r>
    <r>
      <rPr>
        <sz val="6"/>
        <color theme="1"/>
        <rFont val="Palatino Linotype"/>
        <family val="1"/>
      </rPr>
      <t>4</t>
    </r>
  </si>
  <si>
    <t>long term CO2 mol km2 yr</t>
  </si>
  <si>
    <t>Voltri Massif, Italy</t>
  </si>
  <si>
    <t>Teiro (Jul 2016)</t>
  </si>
  <si>
    <t>Arrestra (Jul 2016)</t>
  </si>
  <si>
    <t>Orba (Jul 2016)</t>
  </si>
  <si>
    <t>Teiro (Apr 2017)</t>
  </si>
  <si>
    <t>Arrestra (Apr 2017)</t>
  </si>
  <si>
    <t>Orba (Apr 2017)</t>
  </si>
  <si>
    <t>Volcanic rocks</t>
  </si>
  <si>
    <t>Hartmann et al 2009</t>
  </si>
  <si>
    <t>Total global</t>
  </si>
  <si>
    <t>All</t>
  </si>
  <si>
    <t>Volcanic rocks basic</t>
  </si>
  <si>
    <t>X10^9</t>
  </si>
  <si>
    <t>specific discharge is the average of specific discharges in the supplement (104 cm/yr)</t>
  </si>
  <si>
    <t>River</t>
  </si>
  <si>
    <t>Area km²</t>
  </si>
  <si>
    <t>Qwet</t>
  </si>
  <si>
    <t>Qdry</t>
  </si>
  <si>
    <t>Qann mean m³/s</t>
  </si>
  <si>
    <t>Specific Q L/s/km²</t>
  </si>
  <si>
    <t>Runoff mm/yr</t>
  </si>
  <si>
    <t>Geneva River DS</t>
  </si>
  <si>
    <t>St. Joseph’s River</t>
  </si>
  <si>
    <t>~0.013</t>
  </si>
  <si>
    <t>Pagua River DS</t>
  </si>
  <si>
    <t>Goldsmith et al. 2008</t>
  </si>
  <si>
    <t>Mean annual flow (m³/s)</t>
  </si>
  <si>
    <t>Waitara (DS)</t>
  </si>
  <si>
    <t>Manganui (DS)</t>
  </si>
  <si>
    <t>Manganui (US)</t>
  </si>
  <si>
    <t>Waipuku</t>
  </si>
  <si>
    <t>— (no long-term gauge)</t>
  </si>
  <si>
    <t>Waingongoro (US)</t>
  </si>
  <si>
    <t>Waingongoro (DS)</t>
  </si>
  <si>
    <t>Patea (US)</t>
  </si>
  <si>
    <t>Waitara (US)</t>
  </si>
  <si>
    <t>Waitotara</t>
  </si>
  <si>
    <t>—</t>
  </si>
  <si>
    <t>Maikirikiri</t>
  </si>
  <si>
    <t>Upokongaro</t>
  </si>
  <si>
    <t>km3/yr</t>
  </si>
  <si>
    <t>annual_discharge_km3_yr</t>
  </si>
  <si>
    <t>Frondini 2008</t>
  </si>
  <si>
    <t>Season</t>
  </si>
  <si>
    <t>Basin</t>
  </si>
  <si>
    <t>Sub-basin</t>
  </si>
  <si>
    <t>Runoff (L s-1 km-2)</t>
  </si>
  <si>
    <t>Solute Flux (t km-2 y-1)</t>
  </si>
  <si>
    <t>Weathering Rate (t km-2 y-1)</t>
  </si>
  <si>
    <t>FCO2-Short (mol km-2 y-1)</t>
  </si>
  <si>
    <t>FCO2-Short (t km-2 y-1)</t>
  </si>
  <si>
    <t>FCO2-Long (mol km-2 y-1)</t>
  </si>
  <si>
    <t>FCO2-Long (t km-2 y-1)</t>
  </si>
  <si>
    <t>Weighted mean</t>
  </si>
  <si>
    <t>runoff mm yr</t>
  </si>
  <si>
    <t>Gaillardet et al 2011</t>
  </si>
  <si>
    <t>Gallion Riv.</t>
  </si>
  <si>
    <t>61°41'35.2O</t>
  </si>
  <si>
    <t>16°00'24.0N</t>
  </si>
  <si>
    <t>n.d</t>
  </si>
  <si>
    <t>Riv. des Pères</t>
  </si>
  <si>
    <t>61°44'21.3O</t>
  </si>
  <si>
    <t>16°00'38.4N</t>
  </si>
  <si>
    <t>Grande Anse Riv.</t>
  </si>
  <si>
    <t>61°39'34.3O</t>
  </si>
  <si>
    <t>15°57'47.3N</t>
  </si>
  <si>
    <t>Grand Carbet (second fall)</t>
  </si>
  <si>
    <t>61°38'41.5O</t>
  </si>
  <si>
    <t>16°02'38.8N</t>
  </si>
  <si>
    <t>Baillif Riv.</t>
  </si>
  <si>
    <t>61°44'46.9O</t>
  </si>
  <si>
    <t>16°01'21.7N</t>
  </si>
  <si>
    <t>Vieux Habitant Riv.</t>
  </si>
  <si>
    <t>61°43'39.7O</t>
  </si>
  <si>
    <t>16°04'55.8N</t>
  </si>
  <si>
    <t>Beaugendre Riv.</t>
  </si>
  <si>
    <t>61°45'27.1O</t>
  </si>
  <si>
    <t>16°05'13.8N</t>
  </si>
  <si>
    <t>Losteau Riv.</t>
  </si>
  <si>
    <t>61°46'04.1O</t>
  </si>
  <si>
    <t>16°09'39.8N</t>
  </si>
  <si>
    <t>Grande Plaine Riv.</t>
  </si>
  <si>
    <t>61°45'39.2O</t>
  </si>
  <si>
    <t>16°12'33.6N</t>
  </si>
  <si>
    <t>Petite Plaine Riv.</t>
  </si>
  <si>
    <t>61°47'01.5O</t>
  </si>
  <si>
    <t>16°13'18.7N</t>
  </si>
  <si>
    <t>Fenche Fougères Riv.</t>
  </si>
  <si>
    <t>61°44'53.3O</t>
  </si>
  <si>
    <t>16°13'45.0N</t>
  </si>
  <si>
    <t>Baille-Argent Riv.</t>
  </si>
  <si>
    <t>61°48'01.0O</t>
  </si>
  <si>
    <t>16°15'37.4N</t>
  </si>
  <si>
    <t>Deshaies Riv.</t>
  </si>
  <si>
    <t>61°47'37.7O</t>
  </si>
  <si>
    <t>16°18'13.4N</t>
  </si>
  <si>
    <t>Caillou Riv.</t>
  </si>
  <si>
    <t>61°46'58.0O</t>
  </si>
  <si>
    <t>16°14'03.9N</t>
  </si>
  <si>
    <t>Ferry Riv.</t>
  </si>
  <si>
    <t>61°48'07.7O</t>
  </si>
  <si>
    <t>16°16'15.2N</t>
  </si>
  <si>
    <t>Vieux Fort Riv.</t>
  </si>
  <si>
    <t>61°45'33.7O</t>
  </si>
  <si>
    <t>16°19'39.6N</t>
  </si>
  <si>
    <t>Nogent Riv.</t>
  </si>
  <si>
    <t>61°44'48.8O</t>
  </si>
  <si>
    <t>16°20'04.8N</t>
  </si>
  <si>
    <t>Capesterre downstream</t>
  </si>
  <si>
    <t>61°35'43.8O</t>
  </si>
  <si>
    <t>16°04'02.5N</t>
  </si>
  <si>
    <t>Capesterre upstream (National Park)</t>
  </si>
  <si>
    <t>61°33'58.5O</t>
  </si>
  <si>
    <t>16°03'25.4N</t>
  </si>
  <si>
    <t>Capesterre at mouth</t>
  </si>
  <si>
    <t>Perou Riv. (National Park)</t>
  </si>
  <si>
    <t>61°36'43.9O</t>
  </si>
  <si>
    <t>16°03'29.8N</t>
  </si>
  <si>
    <t>16°07'40.8N</t>
  </si>
  <si>
    <t>16°08'52.9N</t>
  </si>
  <si>
    <t>16°12'08.8N</t>
  </si>
  <si>
    <t>16°10'32.8N</t>
  </si>
  <si>
    <t>16°10'14.7N</t>
  </si>
  <si>
    <t>16°13'50.6N</t>
  </si>
  <si>
    <t>16°18'10.4N</t>
  </si>
  <si>
    <t>Longitude</t>
  </si>
  <si>
    <t>Latitude</t>
  </si>
  <si>
    <t>Martinique</t>
  </si>
  <si>
    <t>Claire Riv.</t>
  </si>
  <si>
    <t>61°11'37.8O</t>
  </si>
  <si>
    <t>14°46'34.0N</t>
  </si>
  <si>
    <t>Macouba Riv.</t>
  </si>
  <si>
    <t>61°08'54.6O</t>
  </si>
  <si>
    <t>14°52'19.8N</t>
  </si>
  <si>
    <t>Carbet Riv.</t>
  </si>
  <si>
    <t>61°07'43.8O</t>
  </si>
  <si>
    <t>14°43'54.9N</t>
  </si>
  <si>
    <t>Alma Riv.</t>
  </si>
  <si>
    <t>61°05'55.3O</t>
  </si>
  <si>
    <t>14°42'53.9N</t>
  </si>
  <si>
    <t>Duclos Riv.</t>
  </si>
  <si>
    <t>61°06'01.1O</t>
  </si>
  <si>
    <t>14°40'40.5N</t>
  </si>
  <si>
    <t>Grand Carbet Riv.</t>
  </si>
  <si>
    <t>Précheur Riv.</t>
  </si>
  <si>
    <t>61°13'30.7O</t>
  </si>
  <si>
    <t>14°48'11.2N</t>
  </si>
  <si>
    <t>Couleuvre Riv.</t>
  </si>
  <si>
    <t>61°13'06.9O</t>
  </si>
  <si>
    <t>14°50'27.5N</t>
  </si>
  <si>
    <t>Céron Riv.</t>
  </si>
  <si>
    <t>61°13'31.4O</t>
  </si>
  <si>
    <t>14°49'53.1N</t>
  </si>
  <si>
    <t>Blanche Riv.</t>
  </si>
  <si>
    <t>61°04'06.7O</t>
  </si>
  <si>
    <t>14°41'58.6N</t>
  </si>
  <si>
    <t>Coulée Blanche Riv.</t>
  </si>
  <si>
    <t>61°11'00.8O</t>
  </si>
  <si>
    <t>14°46'51.9N</t>
  </si>
  <si>
    <t>Fond Capot Riv.</t>
  </si>
  <si>
    <t>61°09'50.4O</t>
  </si>
  <si>
    <t>14°40'47.3N</t>
  </si>
  <si>
    <t>Capot Riv.</t>
  </si>
  <si>
    <t>61°05'29.1O</t>
  </si>
  <si>
    <t>14°50'27.1N</t>
  </si>
  <si>
    <t>Lorrain Riv.</t>
  </si>
  <si>
    <t>61°03'11.6O</t>
  </si>
  <si>
    <t>14°47'51.5N</t>
  </si>
  <si>
    <t>La Lézarde Riv.</t>
  </si>
  <si>
    <t>61°03'16.2O</t>
  </si>
  <si>
    <t>14°43'13.5N</t>
  </si>
  <si>
    <t>Island/Region</t>
  </si>
  <si>
    <t>Runoff (mm/a)</t>
  </si>
  <si>
    <t>Age (Ma)</t>
  </si>
  <si>
    <t>Relief (m)</t>
  </si>
  <si>
    <t>Surface area (km²)</t>
  </si>
  <si>
    <t>pH</t>
  </si>
  <si>
    <t>SiO2 (µM)</t>
  </si>
  <si>
    <t>Cl (µM)</t>
  </si>
  <si>
    <t>Clcrit (µM)</t>
  </si>
  <si>
    <t>NO3 (µM)</t>
  </si>
  <si>
    <t>SO4 (µM)</t>
  </si>
  <si>
    <t>HCO3 (µM)</t>
  </si>
  <si>
    <t>Na (µM)</t>
  </si>
  <si>
    <t>K (µM)</t>
  </si>
  <si>
    <t>Mg (µM)</t>
  </si>
  <si>
    <t>Ca (µM)</t>
  </si>
  <si>
    <t>TDScat (mg/L)</t>
  </si>
  <si>
    <t>CWR (t/km²/a)</t>
  </si>
  <si>
    <t>TDS (mg/L)</t>
  </si>
  <si>
    <t>TWR (t/km²/a)</t>
  </si>
  <si>
    <t>Φ (g/g)</t>
  </si>
  <si>
    <t>TDShydr (mg/L)</t>
  </si>
  <si>
    <t>TWRhyd (t/km²/a)</t>
  </si>
  <si>
    <t>CO2 cons. (10³ mol/km²/a)</t>
  </si>
  <si>
    <t>Basse-Terre, Guadeloupe</t>
  </si>
  <si>
    <t>Moreau Riv.</t>
  </si>
  <si>
    <t>61°36'09.1O</t>
  </si>
  <si>
    <t>Rose Riv.</t>
  </si>
  <si>
    <t>61°35'04.0O</t>
  </si>
  <si>
    <t>Lézarde Riv. at Clède</t>
  </si>
  <si>
    <t>61°36'41.8O</t>
  </si>
  <si>
    <t>Bras David Riv. at Maison Forêt</t>
  </si>
  <si>
    <t>61°41'34.7O</t>
  </si>
  <si>
    <t>Grande Riv. à Goyave upstream</t>
  </si>
  <si>
    <t>61°40'12.1O</t>
  </si>
  <si>
    <t>Riv. à Sable</t>
  </si>
  <si>
    <t>61°40'17.2O</t>
  </si>
  <si>
    <t>Moustique Riv. at Sainte Rose</t>
  </si>
  <si>
    <t>61°42'03.8O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</si>
</sst>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theme="1"/>
      <name val="Times New Roman"/>
      <family val="1"/>
    </font>
    <font>
      <sz val="8"/>
      <color theme="1"/>
      <name val="Times New Roman"/>
      <family val="1"/>
    </font>
    <font>
      <vertAlign val="superscript"/>
      <sz val="8"/>
      <color theme="1"/>
      <name val="Garamond"/>
      <family val="1"/>
    </font>
    <font>
      <vertAlign val="superscript"/>
      <sz val="8"/>
      <color theme="1"/>
      <name val="Times New Roman"/>
      <family val="1"/>
    </font>
    <font>
      <sz val="8"/>
      <color theme="1"/>
      <name val="Calibri"/>
      <family val="2"/>
    </font>
    <font>
      <sz val="8"/>
      <color rgb="FF000000"/>
      <name val="Arial"/>
      <family val="2"/>
    </font>
    <font>
      <sz val="5"/>
      <color rgb="FF000000"/>
      <name val="Arial"/>
      <family val="2"/>
    </font>
    <font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theme="1"/>
      <name val="Palatino Linotype"/>
      <family val="1"/>
    </font>
    <font>
      <b/>
      <sz val="7"/>
      <color theme="1"/>
      <name val="Palatino Linotype"/>
      <family val="1"/>
    </font>
    <font>
      <sz val="9"/>
      <color theme="1"/>
      <name val="Times New Roman"/>
      <family val="1"/>
    </font>
    <font>
      <sz val="9"/>
      <color theme="1"/>
      <name val="Palatino Linotype"/>
      <family val="1"/>
    </font>
    <font>
      <b/>
      <sz val="8"/>
      <color theme="1"/>
      <name val="Palatino Linotype"/>
      <family val="1"/>
    </font>
    <font>
      <i/>
      <sz val="8"/>
      <color theme="1"/>
      <name val="Palatino Linotype"/>
      <family val="1"/>
    </font>
    <font>
      <sz val="6"/>
      <color theme="1"/>
      <name val="Lucida Sans Unicode"/>
      <family val="2"/>
    </font>
    <font>
      <b/>
      <sz val="6"/>
      <color theme="1"/>
      <name val="Palatino Linotype"/>
      <family val="1"/>
    </font>
    <font>
      <b/>
      <i/>
      <sz val="8"/>
      <color theme="1"/>
      <name val="Palatino Linotype"/>
      <family val="1"/>
    </font>
    <font>
      <b/>
      <vertAlign val="subscript"/>
      <sz val="8"/>
      <color theme="1"/>
      <name val="Palatino Linotype"/>
      <family val="1"/>
    </font>
    <font>
      <sz val="8"/>
      <color theme="1"/>
      <name val="Palatino Linotype"/>
      <family val="1"/>
    </font>
    <font>
      <sz val="8"/>
      <color theme="1"/>
      <name val="Lucida Sans Unicode"/>
      <family val="2"/>
    </font>
    <font>
      <sz val="6"/>
      <color theme="1"/>
      <name val="Palatino Linotype"/>
      <family val="1"/>
    </font>
    <font>
      <sz val="8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55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 indent="3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 indent="1"/>
    </xf>
    <xf numFmtId="0" fontId="19" fillId="0" borderId="10" xfId="0" applyFont="1" applyBorder="1" applyAlignment="1">
      <alignment horizontal="left" vertical="center" wrapText="1" indent="2"/>
    </xf>
    <xf numFmtId="0" fontId="23" fillId="34" borderId="0" xfId="0" applyFont="1" applyFill="1" applyAlignment="1">
      <alignment horizontal="center" vertical="top" wrapText="1"/>
    </xf>
    <xf numFmtId="0" fontId="25" fillId="33" borderId="0" xfId="0" applyFont="1" applyFill="1" applyAlignment="1">
      <alignment horizontal="left" vertical="top" wrapText="1" indent="1"/>
    </xf>
    <xf numFmtId="0" fontId="23" fillId="34" borderId="11" xfId="0" applyFont="1" applyFill="1" applyBorder="1" applyAlignment="1">
      <alignment horizontal="left" vertical="top" wrapText="1"/>
    </xf>
    <xf numFmtId="0" fontId="23" fillId="34" borderId="12" xfId="0" applyFont="1" applyFill="1" applyBorder="1" applyAlignment="1">
      <alignment horizontal="center" vertical="top" wrapText="1"/>
    </xf>
    <xf numFmtId="0" fontId="25" fillId="33" borderId="11" xfId="0" applyFont="1" applyFill="1" applyBorder="1" applyAlignment="1">
      <alignment horizontal="left" vertical="top" wrapText="1" indent="1"/>
    </xf>
    <xf numFmtId="0" fontId="25" fillId="33" borderId="12" xfId="0" applyFont="1" applyFill="1" applyBorder="1" applyAlignment="1">
      <alignment horizontal="left" vertical="top" wrapText="1" indent="1"/>
    </xf>
    <xf numFmtId="0" fontId="26" fillId="33" borderId="11" xfId="42" applyFill="1" applyBorder="1" applyAlignment="1">
      <alignment horizontal="left" vertical="top" wrapText="1" indent="1"/>
    </xf>
    <xf numFmtId="0" fontId="25" fillId="33" borderId="13" xfId="0" applyFont="1" applyFill="1" applyBorder="1" applyAlignment="1">
      <alignment horizontal="left" vertical="top" wrapText="1" indent="1"/>
    </xf>
    <xf numFmtId="0" fontId="25" fillId="33" borderId="10" xfId="0" applyFont="1" applyFill="1" applyBorder="1" applyAlignment="1">
      <alignment horizontal="left" vertical="top" wrapText="1" indent="1"/>
    </xf>
    <xf numFmtId="0" fontId="25" fillId="33" borderId="14" xfId="0" applyFont="1" applyFill="1" applyBorder="1" applyAlignment="1">
      <alignment horizontal="left" vertical="top" wrapText="1" indent="1"/>
    </xf>
    <xf numFmtId="0" fontId="29" fillId="0" borderId="10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 wrapText="1" indent="1"/>
    </xf>
    <xf numFmtId="0" fontId="31" fillId="0" borderId="10" xfId="0" applyFont="1" applyBorder="1" applyAlignment="1">
      <alignment horizontal="left" vertical="center" wrapText="1" indent="10"/>
    </xf>
    <xf numFmtId="0" fontId="31" fillId="0" borderId="0" xfId="0" applyFont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 indent="2"/>
    </xf>
    <xf numFmtId="0" fontId="31" fillId="0" borderId="10" xfId="0" applyFont="1" applyBorder="1" applyAlignment="1">
      <alignment horizontal="left" vertical="center" wrapText="1" indent="1"/>
    </xf>
    <xf numFmtId="0" fontId="35" fillId="0" borderId="0" xfId="0" applyFont="1" applyAlignment="1">
      <alignment horizontal="left" vertical="center" wrapText="1" indent="5"/>
    </xf>
    <xf numFmtId="17" fontId="0" fillId="0" borderId="0" xfId="0" applyNumberFormat="1"/>
    <xf numFmtId="0" fontId="37" fillId="0" borderId="0" xfId="0" applyFont="1" applyAlignment="1">
      <alignment horizontal="right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left" vertical="center" wrapText="1" indent="2"/>
    </xf>
    <xf numFmtId="0" fontId="31" fillId="0" borderId="0" xfId="0" applyFont="1" applyAlignment="1">
      <alignment horizontal="left" vertical="center" wrapText="1" indent="3"/>
    </xf>
    <xf numFmtId="0" fontId="40" fillId="0" borderId="0" xfId="0" applyFont="1" applyAlignment="1">
      <alignment horizontal="left" vertical="center" wrapText="1"/>
    </xf>
    <xf numFmtId="0" fontId="37" fillId="0" borderId="10" xfId="0" applyFont="1" applyBorder="1" applyAlignment="1">
      <alignment horizontal="right" vertical="center" wrapText="1"/>
    </xf>
    <xf numFmtId="0" fontId="37" fillId="0" borderId="10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 indent="2"/>
    </xf>
    <xf numFmtId="11" fontId="0" fillId="0" borderId="0" xfId="0" quotePrefix="1" applyNumberFormat="1"/>
    <xf numFmtId="17" fontId="35" fillId="0" borderId="15" xfId="0" applyNumberFormat="1" applyFont="1" applyBorder="1" applyAlignment="1">
      <alignment horizontal="left" vertical="center" wrapText="1" indent="15"/>
    </xf>
    <xf numFmtId="0" fontId="31" fillId="0" borderId="0" xfId="0" applyFont="1" applyAlignment="1">
      <alignment horizontal="left" vertical="center" wrapText="1" indent="2"/>
    </xf>
    <xf numFmtId="0" fontId="27" fillId="0" borderId="15" xfId="0" applyFont="1" applyBorder="1" applyAlignment="1">
      <alignment horizontal="left" vertical="center" wrapText="1" indent="3"/>
    </xf>
    <xf numFmtId="0" fontId="27" fillId="0" borderId="0" xfId="0" applyFont="1" applyAlignment="1">
      <alignment horizontal="left" vertical="center" wrapText="1" indent="3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gupubs.onlinelibrary.wiley.com/doi/full/10.1029/2024JF007776" TargetMode="External"/><Relationship Id="rId1" Type="http://schemas.openxmlformats.org/officeDocument/2006/relationships/hyperlink" Target="https://agupubs.onlinelibrary.wiley.com/doi/full/10.1029/2024JF0077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E8CD-0AA7-494F-8B36-6F7DF1672996}">
  <dimension ref="A1:Y192"/>
  <sheetViews>
    <sheetView zoomScale="115" zoomScaleNormal="115" workbookViewId="0">
      <pane ySplit="1" topLeftCell="A159" activePane="bottomLeft" state="frozen"/>
      <selection pane="bottomLeft" sqref="A1:I192"/>
    </sheetView>
  </sheetViews>
  <sheetFormatPr defaultRowHeight="14.5" x14ac:dyDescent="0.35"/>
  <cols>
    <col min="1" max="1" width="32.08984375" bestFit="1" customWidth="1"/>
    <col min="2" max="2" width="26.81640625" bestFit="1" customWidth="1"/>
    <col min="4" max="4" width="8.7265625" style="1"/>
    <col min="5" max="5" width="14.7265625" style="1" bestFit="1" customWidth="1"/>
    <col min="6" max="6" width="19.08984375" style="1" bestFit="1" customWidth="1"/>
    <col min="8" max="8" width="8.7265625" style="1"/>
    <col min="22" max="22" width="20.81640625" bestFit="1" customWidth="1"/>
  </cols>
  <sheetData>
    <row r="1" spans="1:22" x14ac:dyDescent="0.35">
      <c r="A1" t="s">
        <v>0</v>
      </c>
      <c r="B1" t="s">
        <v>170</v>
      </c>
      <c r="C1" t="s">
        <v>1</v>
      </c>
      <c r="D1" s="1" t="s">
        <v>2</v>
      </c>
      <c r="E1" s="1" t="s">
        <v>168</v>
      </c>
      <c r="F1" s="1" t="s">
        <v>169</v>
      </c>
      <c r="G1" t="s">
        <v>3</v>
      </c>
      <c r="H1" s="1" t="s">
        <v>486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 x14ac:dyDescent="0.35">
      <c r="A2" t="s">
        <v>18</v>
      </c>
      <c r="C2" t="s">
        <v>19</v>
      </c>
      <c r="D2" s="1">
        <v>410000</v>
      </c>
      <c r="E2" s="44">
        <f>VLOOKUP($A2,Sheet2!$A$28:$M$79,6,FALSE)</f>
        <v>832000000000</v>
      </c>
      <c r="F2" s="1">
        <f>E2/D2</f>
        <v>2029268.2926829269</v>
      </c>
      <c r="H2" s="1">
        <v>486</v>
      </c>
      <c r="I2">
        <v>1185</v>
      </c>
      <c r="J2">
        <v>201</v>
      </c>
      <c r="K2">
        <v>535</v>
      </c>
      <c r="L2">
        <v>1304</v>
      </c>
      <c r="M2">
        <v>51</v>
      </c>
      <c r="N2">
        <v>250</v>
      </c>
      <c r="O2">
        <v>247</v>
      </c>
      <c r="P2">
        <v>514</v>
      </c>
      <c r="Q2">
        <v>52</v>
      </c>
      <c r="R2">
        <v>1967</v>
      </c>
      <c r="S2">
        <v>167</v>
      </c>
      <c r="V2" t="s">
        <v>20</v>
      </c>
    </row>
    <row r="3" spans="1:22" x14ac:dyDescent="0.35">
      <c r="A3" t="s">
        <v>21</v>
      </c>
      <c r="C3" t="s">
        <v>19</v>
      </c>
      <c r="D3" s="1">
        <v>30600</v>
      </c>
      <c r="E3" s="44">
        <f>VLOOKUP($A3,Sheet2!$A$28:$M$79,6,FALSE)</f>
        <v>37000000000</v>
      </c>
      <c r="F3" s="1">
        <f t="shared" ref="F3:F58" si="0">E3/D3</f>
        <v>1209150.3267973857</v>
      </c>
      <c r="H3" s="1">
        <v>84.13</v>
      </c>
      <c r="I3">
        <v>2749</v>
      </c>
      <c r="J3">
        <v>126</v>
      </c>
      <c r="K3">
        <v>951</v>
      </c>
      <c r="L3">
        <v>139</v>
      </c>
      <c r="M3">
        <v>26</v>
      </c>
      <c r="N3">
        <v>515</v>
      </c>
      <c r="O3">
        <v>107</v>
      </c>
      <c r="P3">
        <v>34</v>
      </c>
      <c r="Q3">
        <v>25</v>
      </c>
      <c r="R3">
        <v>1328</v>
      </c>
      <c r="S3">
        <v>230</v>
      </c>
      <c r="V3" t="s">
        <v>20</v>
      </c>
    </row>
    <row r="4" spans="1:22" x14ac:dyDescent="0.35">
      <c r="A4" t="s">
        <v>22</v>
      </c>
      <c r="C4" t="s">
        <v>19</v>
      </c>
      <c r="D4" s="1">
        <v>102000</v>
      </c>
      <c r="E4" s="44">
        <f>VLOOKUP($A4,Sheet2!$A$28:$M$79,6,FALSE)</f>
        <v>95000000000</v>
      </c>
      <c r="F4" s="1">
        <f t="shared" si="0"/>
        <v>931372.54901960783</v>
      </c>
      <c r="H4" s="1">
        <v>39</v>
      </c>
      <c r="I4">
        <v>382</v>
      </c>
      <c r="J4">
        <v>285</v>
      </c>
      <c r="K4">
        <v>3071</v>
      </c>
      <c r="L4">
        <v>1522</v>
      </c>
      <c r="N4">
        <v>625</v>
      </c>
      <c r="O4">
        <v>790</v>
      </c>
      <c r="P4">
        <v>486</v>
      </c>
      <c r="Q4">
        <v>52</v>
      </c>
      <c r="R4">
        <v>2869</v>
      </c>
      <c r="S4">
        <v>150</v>
      </c>
      <c r="V4" t="s">
        <v>20</v>
      </c>
    </row>
    <row r="5" spans="1:22" x14ac:dyDescent="0.35">
      <c r="A5" t="s">
        <v>23</v>
      </c>
      <c r="C5" t="s">
        <v>19</v>
      </c>
      <c r="D5" s="1">
        <v>78700</v>
      </c>
      <c r="E5" s="44">
        <f>VLOOKUP($A5,Sheet2!$A$28:$M$79,6,FALSE)</f>
        <v>72000000000</v>
      </c>
      <c r="F5" s="1">
        <f t="shared" si="0"/>
        <v>914866.58195679798</v>
      </c>
      <c r="H5" s="1">
        <v>120</v>
      </c>
      <c r="I5">
        <v>1525</v>
      </c>
      <c r="J5">
        <v>114</v>
      </c>
      <c r="K5">
        <v>68</v>
      </c>
      <c r="L5">
        <v>152</v>
      </c>
      <c r="M5">
        <v>10</v>
      </c>
      <c r="N5">
        <v>388</v>
      </c>
      <c r="O5">
        <v>165</v>
      </c>
      <c r="P5">
        <v>14</v>
      </c>
      <c r="Q5">
        <v>47</v>
      </c>
      <c r="R5">
        <v>1205</v>
      </c>
      <c r="S5">
        <v>208</v>
      </c>
      <c r="V5" t="s">
        <v>20</v>
      </c>
    </row>
    <row r="6" spans="1:22" x14ac:dyDescent="0.35">
      <c r="A6" t="s">
        <v>24</v>
      </c>
      <c r="C6" t="s">
        <v>19</v>
      </c>
      <c r="D6" s="1">
        <v>95600</v>
      </c>
      <c r="E6" s="44">
        <f>VLOOKUP($A6,Sheet2!$A$28:$M$79,6,FALSE)</f>
        <v>4700000000</v>
      </c>
      <c r="F6" s="1">
        <f t="shared" si="0"/>
        <v>49163.179916317989</v>
      </c>
      <c r="H6" s="1">
        <v>54</v>
      </c>
      <c r="I6">
        <v>565</v>
      </c>
      <c r="J6">
        <v>339</v>
      </c>
      <c r="K6">
        <v>500</v>
      </c>
      <c r="L6">
        <v>491</v>
      </c>
      <c r="M6">
        <v>54</v>
      </c>
      <c r="N6">
        <v>1770</v>
      </c>
      <c r="O6">
        <v>267</v>
      </c>
      <c r="P6">
        <v>640</v>
      </c>
      <c r="Q6">
        <v>479</v>
      </c>
      <c r="R6">
        <v>2885</v>
      </c>
      <c r="S6">
        <v>67</v>
      </c>
      <c r="T6">
        <v>5.94</v>
      </c>
      <c r="U6">
        <v>0.7087</v>
      </c>
      <c r="V6" t="s">
        <v>20</v>
      </c>
    </row>
    <row r="7" spans="1:22" x14ac:dyDescent="0.35">
      <c r="A7" t="s">
        <v>25</v>
      </c>
      <c r="C7" t="s">
        <v>19</v>
      </c>
      <c r="D7" s="1">
        <v>88000</v>
      </c>
      <c r="E7" s="44">
        <f>VLOOKUP($A7,Sheet2!$A$28:$M$79,6,FALSE)</f>
        <v>56000000000</v>
      </c>
      <c r="F7" s="1">
        <f t="shared" si="0"/>
        <v>636363.63636363635</v>
      </c>
      <c r="H7" s="1">
        <v>21</v>
      </c>
      <c r="I7">
        <v>239</v>
      </c>
      <c r="J7">
        <v>396</v>
      </c>
      <c r="L7">
        <v>2609</v>
      </c>
      <c r="M7">
        <v>141</v>
      </c>
      <c r="N7">
        <v>700</v>
      </c>
      <c r="O7">
        <v>988</v>
      </c>
      <c r="P7">
        <v>1429</v>
      </c>
      <c r="Q7">
        <v>333</v>
      </c>
      <c r="R7">
        <v>2902</v>
      </c>
      <c r="S7">
        <v>317</v>
      </c>
      <c r="T7">
        <v>3.62</v>
      </c>
      <c r="U7">
        <v>0.71299999999999997</v>
      </c>
      <c r="V7" t="s">
        <v>20</v>
      </c>
    </row>
    <row r="8" spans="1:22" x14ac:dyDescent="0.35">
      <c r="A8" t="s">
        <v>26</v>
      </c>
      <c r="C8" t="s">
        <v>19</v>
      </c>
      <c r="D8" s="1">
        <v>1050000</v>
      </c>
      <c r="E8" s="44">
        <f>VLOOKUP($A8,Sheet2!$A$28:$M$79,6,FALSE)</f>
        <v>471000000000</v>
      </c>
      <c r="F8" s="1">
        <f t="shared" si="0"/>
        <v>448571.42857142858</v>
      </c>
      <c r="H8" s="1">
        <v>493</v>
      </c>
      <c r="I8">
        <v>470</v>
      </c>
      <c r="J8">
        <v>182</v>
      </c>
      <c r="K8">
        <v>1100</v>
      </c>
      <c r="L8">
        <v>417</v>
      </c>
      <c r="M8">
        <v>67</v>
      </c>
      <c r="N8">
        <v>580</v>
      </c>
      <c r="O8">
        <v>267</v>
      </c>
      <c r="P8">
        <v>143</v>
      </c>
      <c r="Q8">
        <v>83</v>
      </c>
      <c r="R8">
        <v>1951</v>
      </c>
      <c r="S8">
        <v>128</v>
      </c>
      <c r="T8">
        <v>1.02</v>
      </c>
      <c r="U8">
        <v>0.72489999999999999</v>
      </c>
      <c r="V8" t="s">
        <v>20</v>
      </c>
    </row>
    <row r="9" spans="1:22" x14ac:dyDescent="0.35">
      <c r="A9" t="s">
        <v>27</v>
      </c>
      <c r="C9" t="s">
        <v>19</v>
      </c>
      <c r="D9" s="1">
        <v>198000</v>
      </c>
      <c r="E9" s="44"/>
      <c r="H9" s="1">
        <v>32.5</v>
      </c>
      <c r="I9">
        <v>164</v>
      </c>
      <c r="J9">
        <v>583</v>
      </c>
      <c r="K9">
        <v>79</v>
      </c>
      <c r="L9">
        <v>2696</v>
      </c>
      <c r="M9">
        <v>126</v>
      </c>
      <c r="N9">
        <v>2250</v>
      </c>
      <c r="O9">
        <v>535</v>
      </c>
      <c r="P9">
        <v>4200</v>
      </c>
      <c r="Q9">
        <v>792</v>
      </c>
      <c r="R9">
        <v>3115</v>
      </c>
      <c r="T9">
        <v>7.94</v>
      </c>
      <c r="U9">
        <v>0.70940000000000003</v>
      </c>
      <c r="V9" t="s">
        <v>20</v>
      </c>
    </row>
    <row r="10" spans="1:22" x14ac:dyDescent="0.35">
      <c r="A10" t="s">
        <v>28</v>
      </c>
      <c r="C10" t="s">
        <v>19</v>
      </c>
      <c r="D10" s="1">
        <v>224000</v>
      </c>
      <c r="E10" s="44">
        <f>VLOOKUP($A10,Sheet2!$A$28:$M$79,6,FALSE)</f>
        <v>14000000000</v>
      </c>
      <c r="F10" s="1">
        <f t="shared" si="0"/>
        <v>62500</v>
      </c>
      <c r="H10" s="1">
        <v>69.400000000000006</v>
      </c>
      <c r="I10">
        <v>310</v>
      </c>
      <c r="J10">
        <v>600</v>
      </c>
      <c r="L10">
        <v>3957</v>
      </c>
      <c r="M10">
        <v>164</v>
      </c>
      <c r="N10">
        <v>2013</v>
      </c>
      <c r="O10">
        <v>469</v>
      </c>
      <c r="P10">
        <v>4943</v>
      </c>
      <c r="Q10">
        <v>771</v>
      </c>
      <c r="R10">
        <v>2590</v>
      </c>
      <c r="S10">
        <v>87</v>
      </c>
      <c r="T10">
        <v>6.23</v>
      </c>
      <c r="U10">
        <v>0.70920000000000005</v>
      </c>
      <c r="V10" t="s">
        <v>20</v>
      </c>
    </row>
    <row r="11" spans="1:22" x14ac:dyDescent="0.35">
      <c r="A11" t="s">
        <v>29</v>
      </c>
      <c r="C11" t="s">
        <v>19</v>
      </c>
      <c r="D11" s="1">
        <v>580000</v>
      </c>
      <c r="E11" s="44">
        <f>VLOOKUP($A11,Sheet2!$A$28:$M$79,6,FALSE)</f>
        <v>87000000000</v>
      </c>
      <c r="F11" s="1">
        <f t="shared" si="0"/>
        <v>150000</v>
      </c>
      <c r="H11" s="1">
        <v>510</v>
      </c>
      <c r="I11">
        <v>879</v>
      </c>
      <c r="J11">
        <v>101</v>
      </c>
      <c r="K11">
        <v>1060</v>
      </c>
      <c r="L11">
        <v>91</v>
      </c>
      <c r="M11">
        <v>100</v>
      </c>
      <c r="N11">
        <v>350</v>
      </c>
      <c r="O11">
        <v>156</v>
      </c>
      <c r="P11">
        <v>31</v>
      </c>
      <c r="Q11">
        <v>104</v>
      </c>
      <c r="R11">
        <v>951</v>
      </c>
      <c r="S11">
        <v>130</v>
      </c>
      <c r="T11">
        <v>0.67</v>
      </c>
      <c r="U11">
        <v>0.71970000000000001</v>
      </c>
      <c r="V11" t="s">
        <v>20</v>
      </c>
    </row>
    <row r="12" spans="1:22" x14ac:dyDescent="0.35">
      <c r="A12" t="s">
        <v>30</v>
      </c>
      <c r="C12" t="s">
        <v>19</v>
      </c>
      <c r="D12" s="1">
        <v>235000</v>
      </c>
      <c r="E12" s="44">
        <f>VLOOKUP($A12,Sheet2!$A$28:$M$79,6,FALSE)</f>
        <v>15000000000</v>
      </c>
      <c r="F12" s="1">
        <f t="shared" si="0"/>
        <v>63829.787234042553</v>
      </c>
      <c r="H12" s="1">
        <v>237</v>
      </c>
      <c r="I12">
        <v>1009</v>
      </c>
      <c r="J12">
        <v>118</v>
      </c>
      <c r="K12">
        <v>928</v>
      </c>
      <c r="L12">
        <v>361</v>
      </c>
      <c r="M12">
        <v>49</v>
      </c>
      <c r="N12">
        <v>375</v>
      </c>
      <c r="O12">
        <v>136</v>
      </c>
      <c r="P12">
        <v>383</v>
      </c>
      <c r="Q12">
        <v>150</v>
      </c>
      <c r="R12">
        <v>808</v>
      </c>
      <c r="S12">
        <v>210</v>
      </c>
      <c r="V12" t="s">
        <v>20</v>
      </c>
    </row>
    <row r="13" spans="1:22" x14ac:dyDescent="0.35">
      <c r="A13" t="s">
        <v>31</v>
      </c>
      <c r="C13" t="s">
        <v>19</v>
      </c>
      <c r="D13" s="1">
        <v>817000</v>
      </c>
      <c r="E13" s="44"/>
      <c r="H13" s="1">
        <v>207</v>
      </c>
      <c r="I13">
        <v>253</v>
      </c>
      <c r="J13">
        <v>428</v>
      </c>
      <c r="K13">
        <v>313</v>
      </c>
      <c r="L13">
        <v>739</v>
      </c>
      <c r="M13">
        <v>51</v>
      </c>
      <c r="N13">
        <v>1473</v>
      </c>
      <c r="O13">
        <v>1117</v>
      </c>
      <c r="P13">
        <v>1509</v>
      </c>
      <c r="Q13">
        <v>660</v>
      </c>
      <c r="R13">
        <v>3328</v>
      </c>
      <c r="S13">
        <v>69</v>
      </c>
      <c r="T13">
        <v>2.76</v>
      </c>
      <c r="U13">
        <v>0.70889999999999997</v>
      </c>
      <c r="V13" t="s">
        <v>20</v>
      </c>
    </row>
    <row r="14" spans="1:22" x14ac:dyDescent="0.35">
      <c r="A14" t="s">
        <v>32</v>
      </c>
      <c r="C14" t="s">
        <v>19</v>
      </c>
      <c r="D14" s="1">
        <v>437000</v>
      </c>
      <c r="E14" s="44">
        <f>VLOOKUP($A14,Sheet2!$A$28:$M$79,6,FALSE)</f>
        <v>24000000000</v>
      </c>
      <c r="F14" s="1">
        <f t="shared" si="0"/>
        <v>54919.908466819223</v>
      </c>
      <c r="H14" s="1">
        <v>363</v>
      </c>
      <c r="I14">
        <v>831</v>
      </c>
      <c r="J14">
        <v>161</v>
      </c>
      <c r="K14">
        <v>190</v>
      </c>
      <c r="L14">
        <v>117</v>
      </c>
      <c r="M14">
        <v>31</v>
      </c>
      <c r="N14">
        <v>810</v>
      </c>
      <c r="O14">
        <v>198</v>
      </c>
      <c r="P14">
        <v>91</v>
      </c>
      <c r="Q14">
        <v>85</v>
      </c>
      <c r="R14">
        <v>1639</v>
      </c>
      <c r="S14">
        <v>142</v>
      </c>
      <c r="T14">
        <v>1.27</v>
      </c>
      <c r="U14">
        <v>0.71067999999999998</v>
      </c>
      <c r="V14" t="s">
        <v>20</v>
      </c>
    </row>
    <row r="15" spans="1:22" x14ac:dyDescent="0.35">
      <c r="A15" t="s">
        <v>33</v>
      </c>
      <c r="C15" t="s">
        <v>19</v>
      </c>
      <c r="D15" s="1">
        <v>46000</v>
      </c>
      <c r="E15" s="44"/>
      <c r="H15" s="1">
        <v>10.6</v>
      </c>
      <c r="I15">
        <v>230</v>
      </c>
      <c r="J15">
        <v>2463</v>
      </c>
      <c r="K15">
        <v>31</v>
      </c>
      <c r="L15" t="s">
        <v>34</v>
      </c>
      <c r="M15">
        <v>1077</v>
      </c>
      <c r="N15">
        <v>1400</v>
      </c>
      <c r="O15">
        <v>6214</v>
      </c>
      <c r="P15" t="s">
        <v>35</v>
      </c>
      <c r="Q15">
        <v>2448</v>
      </c>
      <c r="R15">
        <v>2754</v>
      </c>
      <c r="S15">
        <v>67</v>
      </c>
      <c r="T15">
        <v>8.23</v>
      </c>
      <c r="U15">
        <v>0.70889999999999997</v>
      </c>
      <c r="V15" t="s">
        <v>20</v>
      </c>
    </row>
    <row r="16" spans="1:22" x14ac:dyDescent="0.35">
      <c r="A16" t="s">
        <v>36</v>
      </c>
      <c r="C16" t="s">
        <v>19</v>
      </c>
      <c r="D16" s="1">
        <v>13200</v>
      </c>
      <c r="E16" s="44">
        <f>VLOOKUP($A16,Sheet2!$A$28:$M$79,6,FALSE)</f>
        <v>2500000000</v>
      </c>
      <c r="F16" s="1">
        <f t="shared" si="0"/>
        <v>189393.93939393939</v>
      </c>
      <c r="H16" s="1">
        <v>40.06</v>
      </c>
      <c r="I16">
        <v>3035</v>
      </c>
      <c r="J16">
        <v>177</v>
      </c>
      <c r="L16">
        <v>57</v>
      </c>
      <c r="M16">
        <v>5</v>
      </c>
      <c r="N16">
        <v>933</v>
      </c>
      <c r="O16">
        <v>165</v>
      </c>
      <c r="P16">
        <v>9</v>
      </c>
      <c r="Q16">
        <v>11</v>
      </c>
      <c r="R16">
        <v>2049</v>
      </c>
      <c r="S16">
        <v>133</v>
      </c>
      <c r="V16" t="s">
        <v>20</v>
      </c>
    </row>
    <row r="17" spans="1:22" x14ac:dyDescent="0.35">
      <c r="A17" t="s">
        <v>37</v>
      </c>
      <c r="C17" t="s">
        <v>19</v>
      </c>
      <c r="D17" s="1">
        <v>240000</v>
      </c>
      <c r="E17" s="44">
        <f>VLOOKUP($A17,Sheet2!$A$28:$M$79,6,FALSE)</f>
        <v>38900000000</v>
      </c>
      <c r="F17" s="1">
        <f t="shared" si="0"/>
        <v>162083.33333333334</v>
      </c>
      <c r="H17" s="1">
        <v>145</v>
      </c>
      <c r="I17">
        <v>604</v>
      </c>
      <c r="J17">
        <v>60</v>
      </c>
      <c r="K17">
        <v>76</v>
      </c>
      <c r="L17">
        <v>123</v>
      </c>
      <c r="M17">
        <v>35</v>
      </c>
      <c r="N17">
        <v>148</v>
      </c>
      <c r="O17">
        <v>99</v>
      </c>
      <c r="P17">
        <v>57</v>
      </c>
      <c r="Q17">
        <v>52</v>
      </c>
      <c r="R17">
        <v>426</v>
      </c>
      <c r="S17">
        <v>250</v>
      </c>
      <c r="V17" t="s">
        <v>20</v>
      </c>
    </row>
    <row r="18" spans="1:22" x14ac:dyDescent="0.35">
      <c r="A18" t="s">
        <v>38</v>
      </c>
      <c r="C18" t="s">
        <v>19</v>
      </c>
      <c r="D18" s="1">
        <v>259000</v>
      </c>
      <c r="E18" s="44">
        <f>VLOOKUP($A18,Sheet2!$A$28:$M$79,6,FALSE)</f>
        <v>41000000000</v>
      </c>
      <c r="F18" s="1">
        <f t="shared" si="0"/>
        <v>158301.15830115831</v>
      </c>
      <c r="H18" s="1">
        <v>30</v>
      </c>
      <c r="I18">
        <v>116</v>
      </c>
      <c r="J18">
        <v>317</v>
      </c>
      <c r="K18">
        <v>2130</v>
      </c>
      <c r="L18">
        <v>1848</v>
      </c>
      <c r="M18">
        <v>77</v>
      </c>
      <c r="N18">
        <v>688</v>
      </c>
      <c r="O18">
        <v>556</v>
      </c>
      <c r="P18">
        <v>1057</v>
      </c>
      <c r="Q18">
        <v>656</v>
      </c>
      <c r="R18">
        <v>2049</v>
      </c>
      <c r="S18">
        <v>83</v>
      </c>
      <c r="V18" t="s">
        <v>20</v>
      </c>
    </row>
    <row r="19" spans="1:22" x14ac:dyDescent="0.35">
      <c r="A19" t="s">
        <v>39</v>
      </c>
      <c r="C19" t="s">
        <v>19</v>
      </c>
      <c r="D19" s="1">
        <v>348000</v>
      </c>
      <c r="E19" s="44">
        <f>VLOOKUP($A19,Sheet2!$A$28:$M$79,6,FALSE)</f>
        <v>9000000000</v>
      </c>
      <c r="F19" s="1">
        <f t="shared" si="0"/>
        <v>25862.068965517243</v>
      </c>
      <c r="H19" s="1">
        <v>110</v>
      </c>
      <c r="I19">
        <v>316</v>
      </c>
      <c r="J19">
        <v>173</v>
      </c>
      <c r="K19">
        <v>43</v>
      </c>
      <c r="L19">
        <v>217</v>
      </c>
      <c r="M19">
        <v>26</v>
      </c>
      <c r="N19">
        <v>750</v>
      </c>
      <c r="O19">
        <v>296</v>
      </c>
      <c r="P19">
        <v>154</v>
      </c>
      <c r="Q19">
        <v>403</v>
      </c>
      <c r="R19">
        <v>1361</v>
      </c>
      <c r="S19">
        <v>38</v>
      </c>
      <c r="V19" t="s">
        <v>20</v>
      </c>
    </row>
    <row r="20" spans="1:22" x14ac:dyDescent="0.35">
      <c r="A20" t="s">
        <v>40</v>
      </c>
      <c r="C20" t="s">
        <v>19</v>
      </c>
      <c r="D20" s="1">
        <v>123000</v>
      </c>
      <c r="E20" s="44">
        <f>VLOOKUP($A20,Sheet2!$A$28:$M$79,6,FALSE)</f>
        <v>12300000000</v>
      </c>
      <c r="F20" s="1">
        <f t="shared" si="0"/>
        <v>100000</v>
      </c>
      <c r="H20" s="1">
        <v>59.9</v>
      </c>
      <c r="I20">
        <v>487</v>
      </c>
      <c r="J20">
        <v>145</v>
      </c>
      <c r="K20">
        <v>116</v>
      </c>
      <c r="L20">
        <v>96</v>
      </c>
      <c r="M20">
        <v>20</v>
      </c>
      <c r="N20">
        <v>605</v>
      </c>
      <c r="O20">
        <v>226</v>
      </c>
      <c r="P20">
        <v>19</v>
      </c>
      <c r="Q20">
        <v>147</v>
      </c>
      <c r="R20">
        <v>1469</v>
      </c>
      <c r="S20">
        <v>127</v>
      </c>
      <c r="T20">
        <v>1.06</v>
      </c>
      <c r="U20">
        <v>0.70899999999999996</v>
      </c>
      <c r="V20" t="s">
        <v>20</v>
      </c>
    </row>
    <row r="21" spans="1:22" x14ac:dyDescent="0.35">
      <c r="A21" t="s">
        <v>41</v>
      </c>
      <c r="C21" t="s">
        <v>19</v>
      </c>
      <c r="D21" s="1">
        <v>440000</v>
      </c>
      <c r="E21" s="44">
        <f>VLOOKUP($A21,Sheet2!$A$28:$M$79,6,FALSE)</f>
        <v>42400000000</v>
      </c>
      <c r="F21" s="1">
        <f t="shared" si="0"/>
        <v>96363.636363636368</v>
      </c>
      <c r="H21" s="1">
        <v>26</v>
      </c>
      <c r="I21">
        <v>59</v>
      </c>
      <c r="J21">
        <v>238</v>
      </c>
      <c r="K21">
        <v>1269</v>
      </c>
      <c r="L21">
        <v>896</v>
      </c>
      <c r="M21">
        <v>118</v>
      </c>
      <c r="N21">
        <v>483</v>
      </c>
      <c r="O21">
        <v>506</v>
      </c>
      <c r="P21">
        <v>406</v>
      </c>
      <c r="Q21">
        <v>54</v>
      </c>
      <c r="R21">
        <v>2361</v>
      </c>
      <c r="S21">
        <v>295</v>
      </c>
      <c r="V21" t="s">
        <v>20</v>
      </c>
    </row>
    <row r="22" spans="1:22" x14ac:dyDescent="0.35">
      <c r="A22" t="s">
        <v>42</v>
      </c>
      <c r="C22" t="s">
        <v>19</v>
      </c>
      <c r="D22" s="1">
        <v>2990000</v>
      </c>
      <c r="E22" s="44">
        <f>VLOOKUP($A22,Sheet2!$A$28:$M$79,6,FALSE)</f>
        <v>57000000000</v>
      </c>
      <c r="F22" s="1">
        <f t="shared" si="0"/>
        <v>19063.545150501672</v>
      </c>
      <c r="H22" s="1">
        <v>404</v>
      </c>
      <c r="I22">
        <v>135</v>
      </c>
      <c r="J22">
        <v>126</v>
      </c>
      <c r="K22">
        <v>40</v>
      </c>
      <c r="L22">
        <v>230</v>
      </c>
      <c r="M22">
        <v>26</v>
      </c>
      <c r="N22">
        <v>465</v>
      </c>
      <c r="O22">
        <v>210</v>
      </c>
      <c r="P22">
        <v>186</v>
      </c>
      <c r="Q22">
        <v>89</v>
      </c>
      <c r="R22">
        <v>1279</v>
      </c>
      <c r="S22">
        <v>43</v>
      </c>
      <c r="V22" t="s">
        <v>20</v>
      </c>
    </row>
    <row r="23" spans="1:22" x14ac:dyDescent="0.35">
      <c r="A23" t="s">
        <v>43</v>
      </c>
      <c r="C23" t="s">
        <v>19</v>
      </c>
      <c r="D23" s="1">
        <v>325000</v>
      </c>
      <c r="E23" s="44"/>
      <c r="H23" s="1">
        <v>211</v>
      </c>
      <c r="I23">
        <v>649</v>
      </c>
      <c r="J23">
        <v>306</v>
      </c>
      <c r="L23">
        <v>435</v>
      </c>
      <c r="M23">
        <v>26</v>
      </c>
      <c r="N23">
        <v>1150</v>
      </c>
      <c r="O23">
        <v>658</v>
      </c>
      <c r="P23">
        <v>571</v>
      </c>
      <c r="Q23">
        <v>10</v>
      </c>
      <c r="R23">
        <v>3475</v>
      </c>
      <c r="V23" t="s">
        <v>20</v>
      </c>
    </row>
    <row r="24" spans="1:22" x14ac:dyDescent="0.35">
      <c r="A24" t="s">
        <v>44</v>
      </c>
      <c r="C24" t="s">
        <v>19</v>
      </c>
      <c r="D24" s="1">
        <v>420000</v>
      </c>
      <c r="E24" s="44">
        <f>VLOOKUP($A24,Sheet2!$A$28:$M$79,6,FALSE)</f>
        <v>48000000000</v>
      </c>
      <c r="F24" s="1">
        <f t="shared" si="0"/>
        <v>114285.71428571429</v>
      </c>
      <c r="H24" s="1">
        <v>28.9</v>
      </c>
      <c r="I24">
        <v>69</v>
      </c>
      <c r="J24">
        <v>829</v>
      </c>
      <c r="K24">
        <v>80</v>
      </c>
      <c r="L24">
        <v>6348</v>
      </c>
      <c r="M24">
        <v>26</v>
      </c>
      <c r="N24">
        <v>2073</v>
      </c>
      <c r="O24">
        <v>1481</v>
      </c>
      <c r="P24">
        <v>4200</v>
      </c>
      <c r="Q24">
        <v>2240</v>
      </c>
      <c r="R24">
        <v>3295</v>
      </c>
      <c r="S24">
        <v>5</v>
      </c>
      <c r="V24" t="s">
        <v>20</v>
      </c>
    </row>
    <row r="25" spans="1:22" x14ac:dyDescent="0.35">
      <c r="A25" t="s">
        <v>45</v>
      </c>
      <c r="C25" t="s">
        <v>19</v>
      </c>
      <c r="D25" s="1">
        <v>2780000</v>
      </c>
      <c r="E25" s="44">
        <f>VLOOKUP($A25,Sheet2!$A$28:$M$79,6,FALSE)</f>
        <v>263000000000</v>
      </c>
      <c r="F25" s="1">
        <f t="shared" si="0"/>
        <v>94604.316546762595</v>
      </c>
      <c r="H25" s="1">
        <v>568</v>
      </c>
      <c r="I25">
        <v>204</v>
      </c>
      <c r="J25">
        <v>86</v>
      </c>
      <c r="K25">
        <v>139</v>
      </c>
      <c r="L25">
        <v>231</v>
      </c>
      <c r="M25">
        <v>94</v>
      </c>
      <c r="N25">
        <v>173</v>
      </c>
      <c r="O25">
        <v>86</v>
      </c>
      <c r="P25">
        <v>185</v>
      </c>
      <c r="Q25">
        <v>21</v>
      </c>
      <c r="R25">
        <v>690</v>
      </c>
      <c r="S25">
        <v>285</v>
      </c>
      <c r="T25">
        <v>0.52</v>
      </c>
      <c r="U25">
        <v>0.71389999999999998</v>
      </c>
      <c r="V25" t="s">
        <v>20</v>
      </c>
    </row>
    <row r="26" spans="1:22" x14ac:dyDescent="0.35">
      <c r="A26" t="s">
        <v>46</v>
      </c>
      <c r="C26" t="s">
        <v>19</v>
      </c>
      <c r="D26" s="1">
        <v>669000</v>
      </c>
      <c r="E26" s="44">
        <f>VLOOKUP($A26,Sheet2!$A$28:$M$79,6,FALSE)</f>
        <v>61000000000</v>
      </c>
      <c r="F26" s="1">
        <f t="shared" si="0"/>
        <v>91180.866965620327</v>
      </c>
      <c r="H26" s="1">
        <v>236</v>
      </c>
      <c r="I26">
        <v>353</v>
      </c>
      <c r="J26">
        <v>115</v>
      </c>
      <c r="K26">
        <v>64</v>
      </c>
      <c r="L26">
        <v>217</v>
      </c>
      <c r="M26">
        <v>28</v>
      </c>
      <c r="N26">
        <v>450</v>
      </c>
      <c r="O26">
        <v>206</v>
      </c>
      <c r="P26">
        <v>86</v>
      </c>
      <c r="Q26">
        <v>115</v>
      </c>
      <c r="R26">
        <v>1033</v>
      </c>
      <c r="S26">
        <v>150</v>
      </c>
      <c r="T26">
        <v>0.98</v>
      </c>
      <c r="U26">
        <v>0.71209999999999996</v>
      </c>
      <c r="V26" t="s">
        <v>20</v>
      </c>
    </row>
    <row r="27" spans="1:22" x14ac:dyDescent="0.35">
      <c r="A27" t="s">
        <v>47</v>
      </c>
      <c r="C27" t="s">
        <v>19</v>
      </c>
      <c r="D27" s="1">
        <v>2980000</v>
      </c>
      <c r="E27" s="44">
        <f>VLOOKUP($A27,Sheet2!$A$28:$M$79,6,FALSE)</f>
        <v>199000000000</v>
      </c>
      <c r="F27" s="1">
        <f t="shared" si="0"/>
        <v>66778.523489932879</v>
      </c>
      <c r="H27" s="1">
        <v>580</v>
      </c>
      <c r="I27">
        <v>195</v>
      </c>
      <c r="J27">
        <v>216</v>
      </c>
      <c r="K27">
        <v>862</v>
      </c>
      <c r="L27">
        <v>478</v>
      </c>
      <c r="M27">
        <v>72</v>
      </c>
      <c r="N27">
        <v>850</v>
      </c>
      <c r="O27">
        <v>366</v>
      </c>
      <c r="P27">
        <v>294</v>
      </c>
      <c r="Q27">
        <v>266</v>
      </c>
      <c r="R27">
        <v>1902</v>
      </c>
      <c r="S27">
        <v>127</v>
      </c>
      <c r="T27">
        <v>1.71</v>
      </c>
      <c r="U27">
        <v>0.71020000000000005</v>
      </c>
      <c r="V27" t="s">
        <v>20</v>
      </c>
    </row>
    <row r="28" spans="1:22" x14ac:dyDescent="0.35">
      <c r="A28" t="s">
        <v>48</v>
      </c>
      <c r="C28" t="s">
        <v>19</v>
      </c>
      <c r="D28" s="1">
        <v>752000</v>
      </c>
      <c r="E28" s="44">
        <f>VLOOKUP($A28,Sheet2!$A$28:$M$79,6,FALSE)</f>
        <v>62000000000</v>
      </c>
      <c r="F28" s="1">
        <f t="shared" si="0"/>
        <v>82446.808510638293</v>
      </c>
      <c r="H28" s="1">
        <v>41</v>
      </c>
      <c r="I28">
        <v>55</v>
      </c>
      <c r="J28">
        <v>460</v>
      </c>
      <c r="K28" t="s">
        <v>49</v>
      </c>
      <c r="L28">
        <v>2370</v>
      </c>
      <c r="M28">
        <v>105</v>
      </c>
      <c r="N28">
        <v>1175</v>
      </c>
      <c r="O28">
        <v>848</v>
      </c>
      <c r="P28">
        <v>1563</v>
      </c>
      <c r="Q28">
        <v>696</v>
      </c>
      <c r="R28">
        <v>3361</v>
      </c>
      <c r="S28">
        <v>128</v>
      </c>
      <c r="T28">
        <v>13</v>
      </c>
      <c r="U28">
        <v>0.71111000000000002</v>
      </c>
      <c r="V28" t="s">
        <v>20</v>
      </c>
    </row>
    <row r="29" spans="1:22" x14ac:dyDescent="0.35">
      <c r="A29" t="s">
        <v>50</v>
      </c>
      <c r="C29" t="s">
        <v>19</v>
      </c>
      <c r="D29" s="1">
        <v>1810000</v>
      </c>
      <c r="E29" s="44">
        <f>VLOOKUP($A29,Sheet2!$A$28:$M$79,6,FALSE)</f>
        <v>107000000000</v>
      </c>
      <c r="F29" s="1">
        <f t="shared" si="0"/>
        <v>59116.022099447517</v>
      </c>
      <c r="H29" s="1">
        <v>928</v>
      </c>
      <c r="I29">
        <v>513</v>
      </c>
      <c r="J29">
        <v>221</v>
      </c>
      <c r="K29">
        <v>520</v>
      </c>
      <c r="L29">
        <v>222</v>
      </c>
      <c r="M29">
        <v>36</v>
      </c>
      <c r="N29">
        <v>973</v>
      </c>
      <c r="O29">
        <v>292</v>
      </c>
      <c r="P29">
        <v>151</v>
      </c>
      <c r="Q29">
        <v>164</v>
      </c>
      <c r="R29">
        <v>2311</v>
      </c>
      <c r="S29">
        <v>108</v>
      </c>
      <c r="T29">
        <v>2.42</v>
      </c>
      <c r="U29">
        <v>0.71070999999999995</v>
      </c>
      <c r="V29" t="s">
        <v>20</v>
      </c>
    </row>
    <row r="30" spans="1:22" x14ac:dyDescent="0.35">
      <c r="A30" t="s">
        <v>51</v>
      </c>
      <c r="C30" t="s">
        <v>19</v>
      </c>
      <c r="D30" s="1">
        <v>1100000</v>
      </c>
      <c r="E30" s="44">
        <f>VLOOKUP($A30,Sheet2!$A$28:$M$79,6,FALSE)</f>
        <v>76000000000</v>
      </c>
      <c r="F30" s="1">
        <f t="shared" si="0"/>
        <v>69090.909090909088</v>
      </c>
      <c r="H30" s="1">
        <v>1135</v>
      </c>
      <c r="I30">
        <v>1032</v>
      </c>
      <c r="J30">
        <v>25</v>
      </c>
      <c r="K30">
        <v>132</v>
      </c>
      <c r="L30">
        <v>64</v>
      </c>
      <c r="M30">
        <v>17</v>
      </c>
      <c r="N30">
        <v>65</v>
      </c>
      <c r="O30">
        <v>27</v>
      </c>
      <c r="P30">
        <v>25</v>
      </c>
      <c r="Q30">
        <v>24</v>
      </c>
      <c r="R30">
        <v>164</v>
      </c>
      <c r="S30">
        <v>105</v>
      </c>
      <c r="T30">
        <v>0.21</v>
      </c>
      <c r="U30">
        <v>0.71830000000000005</v>
      </c>
      <c r="V30" t="s">
        <v>20</v>
      </c>
    </row>
    <row r="31" spans="1:22" x14ac:dyDescent="0.35">
      <c r="A31" t="s">
        <v>52</v>
      </c>
      <c r="C31" t="s">
        <v>19</v>
      </c>
      <c r="D31" s="1">
        <v>1130000</v>
      </c>
      <c r="E31" s="44">
        <f>VLOOKUP($A31,Sheet2!$A$28:$M$79,6,FALSE)</f>
        <v>43000000000</v>
      </c>
      <c r="F31" s="1">
        <f t="shared" si="0"/>
        <v>38053.097345132745</v>
      </c>
      <c r="H31" s="1">
        <v>89.3</v>
      </c>
      <c r="I31">
        <v>79</v>
      </c>
      <c r="J31">
        <v>236</v>
      </c>
      <c r="L31">
        <v>696</v>
      </c>
      <c r="M31">
        <v>59</v>
      </c>
      <c r="N31">
        <v>823</v>
      </c>
      <c r="O31">
        <v>457</v>
      </c>
      <c r="P31">
        <v>486</v>
      </c>
      <c r="Q31">
        <v>271</v>
      </c>
      <c r="R31">
        <v>2115</v>
      </c>
      <c r="S31">
        <v>23</v>
      </c>
      <c r="T31">
        <v>0.86</v>
      </c>
      <c r="U31">
        <v>0.71460000000000001</v>
      </c>
      <c r="V31" t="s">
        <v>20</v>
      </c>
    </row>
    <row r="32" spans="1:22" x14ac:dyDescent="0.35">
      <c r="A32" t="s">
        <v>53</v>
      </c>
      <c r="C32" t="s">
        <v>19</v>
      </c>
      <c r="D32" s="1">
        <v>6110000</v>
      </c>
      <c r="E32" s="44">
        <f>VLOOKUP($A32,Sheet2!$A$28:$M$79,6,FALSE)</f>
        <v>320000000000</v>
      </c>
      <c r="F32" s="1">
        <f t="shared" si="0"/>
        <v>52373.158756137476</v>
      </c>
      <c r="H32" s="1">
        <v>6590</v>
      </c>
      <c r="I32">
        <v>1078</v>
      </c>
      <c r="J32">
        <v>44</v>
      </c>
      <c r="K32">
        <v>182</v>
      </c>
      <c r="L32">
        <v>80</v>
      </c>
      <c r="M32">
        <v>21</v>
      </c>
      <c r="N32">
        <v>135</v>
      </c>
      <c r="O32">
        <v>37</v>
      </c>
      <c r="P32">
        <v>61</v>
      </c>
      <c r="Q32">
        <v>47</v>
      </c>
      <c r="R32">
        <v>344</v>
      </c>
      <c r="S32">
        <v>115</v>
      </c>
      <c r="T32">
        <v>0.19</v>
      </c>
      <c r="U32">
        <v>0.71148</v>
      </c>
      <c r="V32" t="s">
        <v>20</v>
      </c>
    </row>
    <row r="33" spans="1:25" x14ac:dyDescent="0.35">
      <c r="A33" t="s">
        <v>54</v>
      </c>
      <c r="C33" t="s">
        <v>19</v>
      </c>
      <c r="D33" s="1">
        <v>1790000</v>
      </c>
      <c r="E33" s="44">
        <f>VLOOKUP($A33,Sheet2!$A$28:$M$79,6,FALSE)</f>
        <v>61000000000</v>
      </c>
      <c r="F33" s="1">
        <f t="shared" si="0"/>
        <v>34078.212290502794</v>
      </c>
      <c r="H33" s="1">
        <v>308</v>
      </c>
      <c r="I33">
        <v>172</v>
      </c>
      <c r="J33">
        <v>209</v>
      </c>
      <c r="K33">
        <v>134</v>
      </c>
      <c r="L33">
        <v>330</v>
      </c>
      <c r="M33">
        <v>26</v>
      </c>
      <c r="N33">
        <v>890</v>
      </c>
      <c r="O33">
        <v>337</v>
      </c>
      <c r="P33">
        <v>226</v>
      </c>
      <c r="Q33">
        <v>369</v>
      </c>
      <c r="R33">
        <v>1803</v>
      </c>
      <c r="S33">
        <v>50</v>
      </c>
      <c r="T33">
        <v>2</v>
      </c>
      <c r="U33">
        <v>0.71099999999999997</v>
      </c>
      <c r="V33" t="s">
        <v>20</v>
      </c>
      <c r="Y33" s="1"/>
    </row>
    <row r="34" spans="1:25" x14ac:dyDescent="0.35">
      <c r="A34" t="s">
        <v>55</v>
      </c>
      <c r="C34" t="s">
        <v>19</v>
      </c>
      <c r="D34" s="1">
        <v>916000</v>
      </c>
      <c r="E34" s="44">
        <f>VLOOKUP($A34,Sheet2!$A$28:$M$79,6,FALSE)</f>
        <v>54000000000</v>
      </c>
      <c r="F34" s="1">
        <f t="shared" si="0"/>
        <v>58951.965065502183</v>
      </c>
      <c r="H34" s="1">
        <v>90</v>
      </c>
      <c r="I34">
        <v>98</v>
      </c>
      <c r="J34">
        <v>302</v>
      </c>
      <c r="K34">
        <v>2778</v>
      </c>
      <c r="L34">
        <v>1370</v>
      </c>
      <c r="M34">
        <v>112</v>
      </c>
      <c r="N34">
        <v>958</v>
      </c>
      <c r="O34">
        <v>374</v>
      </c>
      <c r="P34">
        <v>931</v>
      </c>
      <c r="Q34">
        <v>436</v>
      </c>
      <c r="R34">
        <v>2130</v>
      </c>
      <c r="S34">
        <v>233</v>
      </c>
      <c r="T34">
        <v>3.69</v>
      </c>
      <c r="U34">
        <v>0.71099999999999997</v>
      </c>
      <c r="V34" t="s">
        <v>20</v>
      </c>
    </row>
    <row r="35" spans="1:25" x14ac:dyDescent="0.35">
      <c r="A35" t="s">
        <v>56</v>
      </c>
      <c r="C35" t="s">
        <v>19</v>
      </c>
      <c r="D35" s="1">
        <v>660000</v>
      </c>
      <c r="E35" s="44">
        <f>VLOOKUP($A35,Sheet2!$A$28:$M$79,6,FALSE)</f>
        <v>29000000000</v>
      </c>
      <c r="F35" s="1">
        <f t="shared" si="0"/>
        <v>43939.393939393936</v>
      </c>
      <c r="H35" s="1">
        <v>132</v>
      </c>
      <c r="I35">
        <v>200</v>
      </c>
      <c r="J35">
        <v>74</v>
      </c>
      <c r="K35">
        <v>126</v>
      </c>
      <c r="L35">
        <v>122</v>
      </c>
      <c r="M35">
        <v>46</v>
      </c>
      <c r="N35">
        <v>270</v>
      </c>
      <c r="O35">
        <v>99</v>
      </c>
      <c r="P35">
        <v>80</v>
      </c>
      <c r="Q35">
        <v>147</v>
      </c>
      <c r="R35">
        <v>570</v>
      </c>
      <c r="S35">
        <v>67</v>
      </c>
      <c r="V35" t="s">
        <v>20</v>
      </c>
    </row>
    <row r="36" spans="1:25" x14ac:dyDescent="0.35">
      <c r="A36" t="s">
        <v>57</v>
      </c>
      <c r="C36" t="s">
        <v>19</v>
      </c>
      <c r="D36" s="1">
        <v>220000</v>
      </c>
      <c r="E36" s="44">
        <f>VLOOKUP($A36,Sheet2!$A$28:$M$79,6,FALSE)</f>
        <v>9400000000</v>
      </c>
      <c r="F36" s="1">
        <f t="shared" si="0"/>
        <v>42727.272727272728</v>
      </c>
      <c r="H36" s="1">
        <v>112</v>
      </c>
      <c r="I36">
        <v>509</v>
      </c>
      <c r="J36">
        <v>92</v>
      </c>
      <c r="K36">
        <v>175</v>
      </c>
      <c r="L36">
        <v>126</v>
      </c>
      <c r="M36">
        <v>18</v>
      </c>
      <c r="N36">
        <v>443</v>
      </c>
      <c r="O36">
        <v>148</v>
      </c>
      <c r="P36">
        <v>69</v>
      </c>
      <c r="Q36">
        <v>85</v>
      </c>
      <c r="R36">
        <v>841</v>
      </c>
      <c r="S36">
        <v>91</v>
      </c>
      <c r="T36">
        <v>0.79500000000000004</v>
      </c>
      <c r="U36">
        <v>0.71120000000000005</v>
      </c>
      <c r="V36" t="s">
        <v>20</v>
      </c>
    </row>
    <row r="37" spans="1:25" x14ac:dyDescent="0.35">
      <c r="A37" t="s">
        <v>58</v>
      </c>
      <c r="C37" t="s">
        <v>19</v>
      </c>
      <c r="D37" s="1">
        <v>364000</v>
      </c>
      <c r="E37" s="44">
        <f>VLOOKUP($A37,Sheet2!$A$28:$M$79,6,FALSE)</f>
        <v>15400000000</v>
      </c>
      <c r="F37" s="1">
        <f t="shared" si="0"/>
        <v>42307.692307692305</v>
      </c>
      <c r="H37" s="1">
        <v>85.3</v>
      </c>
      <c r="I37">
        <v>234</v>
      </c>
      <c r="J37">
        <v>96</v>
      </c>
      <c r="K37">
        <v>17</v>
      </c>
      <c r="L37">
        <v>422</v>
      </c>
      <c r="M37">
        <v>26</v>
      </c>
      <c r="N37">
        <v>313</v>
      </c>
      <c r="O37">
        <v>148</v>
      </c>
      <c r="P37">
        <v>357</v>
      </c>
      <c r="Q37">
        <v>58</v>
      </c>
      <c r="R37">
        <v>785</v>
      </c>
      <c r="S37">
        <v>53</v>
      </c>
      <c r="V37" t="s">
        <v>20</v>
      </c>
    </row>
    <row r="38" spans="1:25" x14ac:dyDescent="0.35">
      <c r="A38" t="s">
        <v>59</v>
      </c>
      <c r="C38" t="s">
        <v>19</v>
      </c>
      <c r="D38" s="1">
        <v>541000</v>
      </c>
      <c r="E38" s="44">
        <f>VLOOKUP($A38,Sheet2!$A$28:$M$79,6,FALSE)</f>
        <v>37000000000</v>
      </c>
      <c r="F38" s="1">
        <f t="shared" si="0"/>
        <v>68391.866913123842</v>
      </c>
      <c r="H38" s="1">
        <v>45.8</v>
      </c>
      <c r="I38">
        <v>85</v>
      </c>
      <c r="J38">
        <v>400</v>
      </c>
      <c r="K38">
        <v>2295</v>
      </c>
      <c r="L38">
        <v>1348</v>
      </c>
      <c r="M38">
        <v>77</v>
      </c>
      <c r="N38">
        <v>1300</v>
      </c>
      <c r="O38">
        <v>905</v>
      </c>
      <c r="P38">
        <v>914</v>
      </c>
      <c r="Q38">
        <v>760</v>
      </c>
      <c r="R38">
        <v>2951</v>
      </c>
      <c r="S38">
        <v>115</v>
      </c>
      <c r="V38" t="s">
        <v>20</v>
      </c>
    </row>
    <row r="39" spans="1:25" x14ac:dyDescent="0.35">
      <c r="A39" t="s">
        <v>60</v>
      </c>
      <c r="C39" t="s">
        <v>19</v>
      </c>
      <c r="D39" s="1">
        <v>1200000</v>
      </c>
      <c r="E39" s="44">
        <f>VLOOKUP($A39,Sheet2!$A$28:$M$79,6,FALSE)</f>
        <v>35500000000</v>
      </c>
      <c r="F39" s="1">
        <f t="shared" si="0"/>
        <v>29583.333333333332</v>
      </c>
      <c r="H39" s="1">
        <v>154.1</v>
      </c>
      <c r="I39">
        <v>128</v>
      </c>
      <c r="J39">
        <v>59</v>
      </c>
      <c r="K39">
        <v>260</v>
      </c>
      <c r="L39">
        <v>78</v>
      </c>
      <c r="M39">
        <v>28</v>
      </c>
      <c r="N39">
        <v>138</v>
      </c>
      <c r="O39">
        <v>78</v>
      </c>
      <c r="P39">
        <v>26</v>
      </c>
      <c r="Q39">
        <v>5</v>
      </c>
      <c r="R39">
        <v>549</v>
      </c>
      <c r="S39">
        <v>233</v>
      </c>
      <c r="T39">
        <v>0.25</v>
      </c>
      <c r="U39">
        <v>0.71399999999999997</v>
      </c>
      <c r="V39" t="s">
        <v>20</v>
      </c>
    </row>
    <row r="40" spans="1:25" x14ac:dyDescent="0.35">
      <c r="A40" t="s">
        <v>61</v>
      </c>
      <c r="C40" t="s">
        <v>19</v>
      </c>
      <c r="D40" s="1">
        <v>1060000</v>
      </c>
      <c r="E40" s="44">
        <f>VLOOKUP($A40,Sheet2!$A$28:$M$79,6,FALSE)</f>
        <v>25000000000</v>
      </c>
      <c r="F40" s="1">
        <f t="shared" si="0"/>
        <v>23584.905660377357</v>
      </c>
      <c r="H40" s="1">
        <v>23.6</v>
      </c>
      <c r="I40">
        <v>22</v>
      </c>
      <c r="J40">
        <v>453</v>
      </c>
      <c r="K40">
        <v>1271</v>
      </c>
      <c r="L40">
        <v>4391</v>
      </c>
      <c r="M40">
        <v>154</v>
      </c>
      <c r="N40">
        <v>525</v>
      </c>
      <c r="O40">
        <v>700</v>
      </c>
      <c r="P40">
        <v>4886</v>
      </c>
      <c r="Q40">
        <v>396</v>
      </c>
      <c r="R40">
        <v>1541</v>
      </c>
      <c r="S40">
        <v>83</v>
      </c>
      <c r="U40">
        <v>0.71379999999999999</v>
      </c>
      <c r="V40" t="s">
        <v>20</v>
      </c>
    </row>
    <row r="41" spans="1:25" x14ac:dyDescent="0.35">
      <c r="A41" t="s">
        <v>173</v>
      </c>
      <c r="C41" t="s">
        <v>19</v>
      </c>
      <c r="D41" s="1">
        <v>2590000</v>
      </c>
      <c r="E41" s="44">
        <f>VLOOKUP($A41,Sheet2!$A$28:$M$79,6,FALSE)</f>
        <v>169000000000</v>
      </c>
      <c r="F41" s="1">
        <f t="shared" si="0"/>
        <v>65250.965250965251</v>
      </c>
      <c r="H41" s="1">
        <v>620</v>
      </c>
      <c r="I41">
        <v>239</v>
      </c>
      <c r="J41">
        <v>112</v>
      </c>
      <c r="K41">
        <v>23</v>
      </c>
      <c r="L41">
        <v>226</v>
      </c>
      <c r="M41">
        <v>26</v>
      </c>
      <c r="N41">
        <v>413</v>
      </c>
      <c r="O41">
        <v>152</v>
      </c>
      <c r="P41">
        <v>271</v>
      </c>
      <c r="Q41">
        <v>104</v>
      </c>
      <c r="R41">
        <v>939</v>
      </c>
      <c r="S41">
        <v>138</v>
      </c>
      <c r="V41" t="s">
        <v>20</v>
      </c>
    </row>
    <row r="42" spans="1:25" x14ac:dyDescent="0.35">
      <c r="A42" t="s">
        <v>62</v>
      </c>
      <c r="C42" t="s">
        <v>19</v>
      </c>
      <c r="D42" s="1">
        <v>1020000</v>
      </c>
      <c r="E42" s="44">
        <f>VLOOKUP($A42,Sheet2!$A$28:$M$79,6,FALSE)</f>
        <v>28000000000</v>
      </c>
      <c r="F42" s="1">
        <f t="shared" si="0"/>
        <v>27450.980392156864</v>
      </c>
      <c r="H42" s="1">
        <v>337</v>
      </c>
      <c r="I42">
        <v>330</v>
      </c>
      <c r="J42">
        <v>168</v>
      </c>
      <c r="K42">
        <v>12</v>
      </c>
      <c r="L42">
        <v>239</v>
      </c>
      <c r="M42">
        <v>35</v>
      </c>
      <c r="N42">
        <v>750</v>
      </c>
      <c r="O42">
        <v>247</v>
      </c>
      <c r="P42">
        <v>214</v>
      </c>
      <c r="Q42">
        <v>146</v>
      </c>
      <c r="R42">
        <v>1656</v>
      </c>
      <c r="S42">
        <v>40</v>
      </c>
      <c r="T42">
        <v>1.4</v>
      </c>
      <c r="U42">
        <v>0.70962999999999998</v>
      </c>
      <c r="V42" t="s">
        <v>20</v>
      </c>
    </row>
    <row r="43" spans="1:25" x14ac:dyDescent="0.35">
      <c r="A43" t="s">
        <v>63</v>
      </c>
      <c r="C43" t="s">
        <v>19</v>
      </c>
      <c r="D43" s="1">
        <v>2490000</v>
      </c>
      <c r="E43" s="44">
        <f>VLOOKUP($A43,Sheet2!$A$28:$M$79,6,FALSE)</f>
        <v>86000000000</v>
      </c>
      <c r="F43" s="1">
        <f t="shared" si="0"/>
        <v>34538.152610441764</v>
      </c>
      <c r="H43" s="1">
        <v>525</v>
      </c>
      <c r="I43">
        <v>211</v>
      </c>
      <c r="J43">
        <v>112</v>
      </c>
      <c r="K43">
        <v>30</v>
      </c>
      <c r="L43">
        <v>196</v>
      </c>
      <c r="M43">
        <v>18</v>
      </c>
      <c r="N43">
        <v>428</v>
      </c>
      <c r="O43">
        <v>210</v>
      </c>
      <c r="P43">
        <v>343</v>
      </c>
      <c r="Q43">
        <v>142</v>
      </c>
      <c r="R43">
        <v>870</v>
      </c>
      <c r="S43">
        <v>97</v>
      </c>
      <c r="V43" t="s">
        <v>20</v>
      </c>
    </row>
    <row r="44" spans="1:25" x14ac:dyDescent="0.35">
      <c r="A44" t="s">
        <v>64</v>
      </c>
      <c r="C44" t="s">
        <v>19</v>
      </c>
      <c r="D44" s="1">
        <v>2870000</v>
      </c>
      <c r="E44" s="44">
        <f>VLOOKUP($A44,Sheet2!$A$28:$M$79,6,FALSE)</f>
        <v>64000000000</v>
      </c>
      <c r="F44" s="1">
        <f t="shared" si="0"/>
        <v>22299.651567944249</v>
      </c>
      <c r="H44" s="1">
        <v>83</v>
      </c>
      <c r="I44">
        <v>10</v>
      </c>
      <c r="J44">
        <v>388</v>
      </c>
      <c r="K44">
        <v>1400</v>
      </c>
      <c r="L44">
        <v>2261</v>
      </c>
      <c r="M44">
        <v>200</v>
      </c>
      <c r="N44">
        <v>775</v>
      </c>
      <c r="O44">
        <v>576</v>
      </c>
      <c r="P44">
        <v>1257</v>
      </c>
      <c r="Q44">
        <v>542</v>
      </c>
      <c r="R44">
        <v>2852</v>
      </c>
      <c r="S44">
        <v>213</v>
      </c>
      <c r="V44" t="s">
        <v>20</v>
      </c>
    </row>
    <row r="45" spans="1:25" x14ac:dyDescent="0.35">
      <c r="A45" t="s">
        <v>65</v>
      </c>
      <c r="C45" t="s">
        <v>19</v>
      </c>
      <c r="D45" s="1">
        <v>324000</v>
      </c>
      <c r="E45" s="44">
        <f>VLOOKUP($A45,Sheet2!$A$28:$M$79,6,FALSE)</f>
        <v>5800000000</v>
      </c>
      <c r="F45" s="1">
        <f t="shared" si="0"/>
        <v>17901.234567901236</v>
      </c>
      <c r="H45" s="1">
        <v>131</v>
      </c>
      <c r="I45">
        <v>404</v>
      </c>
      <c r="J45">
        <v>70</v>
      </c>
      <c r="K45">
        <v>50</v>
      </c>
      <c r="L45">
        <v>130</v>
      </c>
      <c r="M45">
        <v>26</v>
      </c>
      <c r="N45">
        <v>260</v>
      </c>
      <c r="O45">
        <v>115</v>
      </c>
      <c r="P45">
        <v>117</v>
      </c>
      <c r="Q45">
        <v>83</v>
      </c>
      <c r="R45">
        <v>638</v>
      </c>
      <c r="S45">
        <v>27</v>
      </c>
      <c r="V45" t="s">
        <v>20</v>
      </c>
    </row>
    <row r="46" spans="1:25" x14ac:dyDescent="0.35">
      <c r="A46" t="s">
        <v>66</v>
      </c>
      <c r="C46" t="s">
        <v>19</v>
      </c>
      <c r="D46" s="1">
        <v>849000</v>
      </c>
      <c r="E46" s="44">
        <f>VLOOKUP($A46,Sheet2!$A$28:$M$79,6,FALSE)</f>
        <v>29000000000</v>
      </c>
      <c r="F46" s="1">
        <f t="shared" si="0"/>
        <v>34157.832744405183</v>
      </c>
      <c r="H46" s="1">
        <v>200</v>
      </c>
      <c r="I46">
        <v>236</v>
      </c>
      <c r="J46">
        <v>183</v>
      </c>
      <c r="K46">
        <v>286</v>
      </c>
      <c r="L46">
        <v>113</v>
      </c>
      <c r="M46">
        <v>31</v>
      </c>
      <c r="N46">
        <v>795</v>
      </c>
      <c r="O46">
        <v>295</v>
      </c>
      <c r="P46">
        <v>31</v>
      </c>
      <c r="Q46">
        <v>233</v>
      </c>
      <c r="R46">
        <v>1787</v>
      </c>
      <c r="S46">
        <v>128</v>
      </c>
      <c r="T46">
        <v>1.59</v>
      </c>
      <c r="U46">
        <v>0.7137</v>
      </c>
      <c r="V46" t="s">
        <v>20</v>
      </c>
    </row>
    <row r="47" spans="1:25" x14ac:dyDescent="0.35">
      <c r="A47" t="s">
        <v>67</v>
      </c>
      <c r="C47" t="s">
        <v>19</v>
      </c>
      <c r="D47" s="1">
        <v>795000</v>
      </c>
      <c r="E47" s="44">
        <f>VLOOKUP($A47,Sheet2!$A$28:$M$79,6,FALSE)</f>
        <v>194000000000</v>
      </c>
      <c r="F47" s="1">
        <f t="shared" si="0"/>
        <v>244025.1572327044</v>
      </c>
      <c r="H47" s="1">
        <v>467</v>
      </c>
      <c r="I47">
        <v>587</v>
      </c>
      <c r="J47">
        <v>263</v>
      </c>
      <c r="K47">
        <v>321</v>
      </c>
      <c r="L47">
        <v>663</v>
      </c>
      <c r="M47">
        <v>48</v>
      </c>
      <c r="N47">
        <v>1001</v>
      </c>
      <c r="O47">
        <v>367</v>
      </c>
      <c r="P47">
        <v>448</v>
      </c>
      <c r="Q47">
        <v>343</v>
      </c>
      <c r="R47">
        <v>2305</v>
      </c>
      <c r="S47">
        <v>167</v>
      </c>
      <c r="T47">
        <v>3.39</v>
      </c>
      <c r="U47">
        <v>0.71020000000000005</v>
      </c>
      <c r="V47" t="s">
        <v>20</v>
      </c>
    </row>
    <row r="48" spans="1:25" x14ac:dyDescent="0.35">
      <c r="A48" t="s">
        <v>68</v>
      </c>
      <c r="C48" t="s">
        <v>19</v>
      </c>
      <c r="D48" s="1">
        <v>313000</v>
      </c>
      <c r="E48" s="44"/>
      <c r="H48" s="1">
        <v>105</v>
      </c>
      <c r="I48">
        <v>335</v>
      </c>
      <c r="J48">
        <v>193</v>
      </c>
      <c r="K48">
        <v>1619</v>
      </c>
      <c r="L48">
        <v>352</v>
      </c>
      <c r="M48">
        <v>56</v>
      </c>
      <c r="N48">
        <v>755</v>
      </c>
      <c r="O48">
        <v>99</v>
      </c>
      <c r="P48">
        <v>403</v>
      </c>
      <c r="Q48">
        <v>104</v>
      </c>
      <c r="R48">
        <v>1721</v>
      </c>
      <c r="S48">
        <v>352</v>
      </c>
      <c r="V48" t="s">
        <v>20</v>
      </c>
    </row>
    <row r="49" spans="1:22" x14ac:dyDescent="0.35">
      <c r="A49" t="s">
        <v>69</v>
      </c>
      <c r="C49" t="s">
        <v>19</v>
      </c>
      <c r="D49" s="1">
        <v>78600</v>
      </c>
      <c r="E49" s="44">
        <f>VLOOKUP($A49,Sheet2!$A$28:$M$79,6,FALSE)</f>
        <v>1000000000</v>
      </c>
      <c r="F49" s="1">
        <f t="shared" si="0"/>
        <v>12722.64631043257</v>
      </c>
      <c r="H49" s="1">
        <v>12.9</v>
      </c>
      <c r="I49">
        <v>164</v>
      </c>
      <c r="J49">
        <v>493</v>
      </c>
      <c r="K49">
        <v>44</v>
      </c>
      <c r="L49">
        <v>922</v>
      </c>
      <c r="M49">
        <v>126</v>
      </c>
      <c r="N49">
        <v>2625</v>
      </c>
      <c r="O49">
        <v>379</v>
      </c>
      <c r="P49">
        <v>1100</v>
      </c>
      <c r="Q49">
        <v>580</v>
      </c>
      <c r="R49">
        <v>4131</v>
      </c>
      <c r="S49">
        <v>106</v>
      </c>
      <c r="T49">
        <v>3.84</v>
      </c>
      <c r="U49">
        <v>0.70823999999999998</v>
      </c>
      <c r="V49" t="s">
        <v>20</v>
      </c>
    </row>
    <row r="50" spans="1:22" x14ac:dyDescent="0.35">
      <c r="A50" t="s">
        <v>70</v>
      </c>
      <c r="C50" t="s">
        <v>19</v>
      </c>
      <c r="D50" s="1">
        <v>1860000</v>
      </c>
      <c r="E50" s="44">
        <f>VLOOKUP($A50,Sheet2!$A$28:$M$79,6,FALSE)</f>
        <v>33000000000</v>
      </c>
      <c r="F50" s="1">
        <f t="shared" si="0"/>
        <v>17741.935483870966</v>
      </c>
      <c r="H50" s="1">
        <v>344</v>
      </c>
      <c r="I50">
        <v>185</v>
      </c>
      <c r="J50">
        <v>55</v>
      </c>
      <c r="K50">
        <v>72</v>
      </c>
      <c r="L50">
        <v>126</v>
      </c>
      <c r="M50">
        <v>26</v>
      </c>
      <c r="N50">
        <v>223</v>
      </c>
      <c r="O50">
        <v>95</v>
      </c>
      <c r="P50">
        <v>66</v>
      </c>
      <c r="Q50">
        <v>65</v>
      </c>
      <c r="R50">
        <v>477</v>
      </c>
      <c r="S50">
        <v>36</v>
      </c>
      <c r="V50" t="s">
        <v>20</v>
      </c>
    </row>
    <row r="51" spans="1:22" x14ac:dyDescent="0.35">
      <c r="A51" t="s">
        <v>174</v>
      </c>
      <c r="C51" t="s">
        <v>19</v>
      </c>
      <c r="D51" s="1">
        <v>3700000</v>
      </c>
      <c r="E51" s="44">
        <f>VLOOKUP($A51,Sheet2!$A$28:$M$79,6,FALSE)</f>
        <v>201000000000</v>
      </c>
      <c r="F51" s="1">
        <f t="shared" si="0"/>
        <v>54324.324324324327</v>
      </c>
      <c r="H51" s="1">
        <v>1200</v>
      </c>
      <c r="I51">
        <v>324</v>
      </c>
      <c r="J51">
        <v>35</v>
      </c>
      <c r="K51">
        <v>32</v>
      </c>
      <c r="L51">
        <v>96</v>
      </c>
      <c r="M51">
        <v>43</v>
      </c>
      <c r="N51">
        <v>56</v>
      </c>
      <c r="O51">
        <v>59</v>
      </c>
      <c r="P51">
        <v>37</v>
      </c>
      <c r="Q51">
        <v>15</v>
      </c>
      <c r="R51">
        <v>258</v>
      </c>
      <c r="S51">
        <v>157</v>
      </c>
      <c r="T51">
        <v>0.15</v>
      </c>
      <c r="U51">
        <v>0.71918000000000004</v>
      </c>
      <c r="V51" t="s">
        <v>20</v>
      </c>
    </row>
    <row r="52" spans="1:22" x14ac:dyDescent="0.35">
      <c r="A52" t="s">
        <v>71</v>
      </c>
      <c r="C52" t="s">
        <v>19</v>
      </c>
      <c r="D52" s="1">
        <v>1330000</v>
      </c>
      <c r="E52" s="44">
        <f>VLOOKUP($A52,Sheet2!$A$28:$M$79,6,FALSE)</f>
        <v>9200000000</v>
      </c>
      <c r="F52" s="1">
        <f t="shared" si="0"/>
        <v>6917.293233082707</v>
      </c>
      <c r="H52" s="1">
        <v>103</v>
      </c>
      <c r="I52">
        <v>77</v>
      </c>
      <c r="J52">
        <v>80</v>
      </c>
      <c r="K52">
        <v>194</v>
      </c>
      <c r="L52">
        <v>235</v>
      </c>
      <c r="M52">
        <v>49</v>
      </c>
      <c r="N52">
        <v>265</v>
      </c>
      <c r="O52">
        <v>169</v>
      </c>
      <c r="P52">
        <v>186</v>
      </c>
      <c r="Q52">
        <v>31</v>
      </c>
      <c r="R52">
        <v>525</v>
      </c>
      <c r="S52">
        <v>280</v>
      </c>
      <c r="V52" t="s">
        <v>20</v>
      </c>
    </row>
    <row r="53" spans="1:22" x14ac:dyDescent="0.35">
      <c r="A53" t="s">
        <v>72</v>
      </c>
      <c r="C53" t="s">
        <v>19</v>
      </c>
      <c r="D53" s="1">
        <v>120000</v>
      </c>
      <c r="E53" s="44">
        <f>VLOOKUP($A53,Sheet2!$A$28:$M$79,6,FALSE)</f>
        <v>82000000000</v>
      </c>
      <c r="F53" s="1">
        <f t="shared" si="0"/>
        <v>683333.33333333337</v>
      </c>
      <c r="H53" s="1">
        <v>123</v>
      </c>
      <c r="I53">
        <v>1025</v>
      </c>
      <c r="J53">
        <v>147</v>
      </c>
      <c r="K53">
        <v>1057</v>
      </c>
      <c r="L53">
        <v>483</v>
      </c>
      <c r="M53">
        <v>38</v>
      </c>
      <c r="N53">
        <v>388</v>
      </c>
      <c r="O53">
        <v>333</v>
      </c>
      <c r="P53">
        <v>237</v>
      </c>
      <c r="Q53">
        <v>119</v>
      </c>
      <c r="R53">
        <v>1328</v>
      </c>
      <c r="S53">
        <v>167</v>
      </c>
      <c r="T53">
        <v>1.55</v>
      </c>
      <c r="U53">
        <v>0.71140000000000003</v>
      </c>
      <c r="V53" t="s">
        <v>20</v>
      </c>
    </row>
    <row r="54" spans="1:22" x14ac:dyDescent="0.35">
      <c r="A54" t="s">
        <v>73</v>
      </c>
      <c r="C54" t="s">
        <v>19</v>
      </c>
      <c r="D54" s="1">
        <v>70000</v>
      </c>
      <c r="E54" s="44">
        <f>VLOOKUP($A54,Sheet2!$A$28:$M$79,6,FALSE)</f>
        <v>16000000000</v>
      </c>
      <c r="F54" s="1">
        <f t="shared" si="0"/>
        <v>228571.42857142858</v>
      </c>
      <c r="H54" s="1">
        <v>46.7</v>
      </c>
      <c r="I54">
        <v>667</v>
      </c>
      <c r="J54">
        <v>354</v>
      </c>
      <c r="K54">
        <v>330</v>
      </c>
      <c r="L54">
        <v>730</v>
      </c>
      <c r="M54">
        <v>77</v>
      </c>
      <c r="N54">
        <v>1553</v>
      </c>
      <c r="O54">
        <v>490</v>
      </c>
      <c r="P54">
        <v>517</v>
      </c>
      <c r="Q54">
        <v>626</v>
      </c>
      <c r="R54">
        <v>2918</v>
      </c>
      <c r="S54">
        <v>67</v>
      </c>
      <c r="V54" t="s">
        <v>20</v>
      </c>
    </row>
    <row r="55" spans="1:22" x14ac:dyDescent="0.35">
      <c r="A55" t="s">
        <v>74</v>
      </c>
      <c r="C55" t="s">
        <v>19</v>
      </c>
      <c r="D55" s="1">
        <v>61000</v>
      </c>
      <c r="E55" s="44">
        <f>VLOOKUP($A55,Sheet2!$A$28:$M$79,6,FALSE)</f>
        <v>49000000000</v>
      </c>
      <c r="F55" s="1">
        <f t="shared" si="0"/>
        <v>803278.68852459011</v>
      </c>
      <c r="H55" s="1">
        <v>141</v>
      </c>
      <c r="I55">
        <v>2311</v>
      </c>
      <c r="J55">
        <v>116</v>
      </c>
      <c r="K55">
        <v>816</v>
      </c>
      <c r="L55">
        <v>101</v>
      </c>
      <c r="M55">
        <v>11</v>
      </c>
      <c r="N55">
        <v>533</v>
      </c>
      <c r="O55">
        <v>72</v>
      </c>
      <c r="P55">
        <v>3</v>
      </c>
      <c r="Q55">
        <v>28</v>
      </c>
      <c r="R55">
        <v>1284</v>
      </c>
      <c r="S55">
        <v>150</v>
      </c>
      <c r="V55" t="s">
        <v>20</v>
      </c>
    </row>
    <row r="56" spans="1:22" x14ac:dyDescent="0.35">
      <c r="A56" t="s">
        <v>75</v>
      </c>
      <c r="C56" t="s">
        <v>19</v>
      </c>
      <c r="D56" s="1">
        <v>148000</v>
      </c>
      <c r="E56" s="44"/>
      <c r="H56" s="1">
        <v>22.8</v>
      </c>
      <c r="I56">
        <v>154</v>
      </c>
      <c r="J56">
        <v>698</v>
      </c>
      <c r="K56">
        <v>37</v>
      </c>
      <c r="L56">
        <v>3717</v>
      </c>
      <c r="M56">
        <v>669</v>
      </c>
      <c r="N56">
        <v>2675</v>
      </c>
      <c r="O56">
        <v>663</v>
      </c>
      <c r="P56">
        <v>4971</v>
      </c>
      <c r="Q56">
        <v>1594</v>
      </c>
      <c r="R56">
        <v>2164</v>
      </c>
      <c r="S56">
        <v>67</v>
      </c>
      <c r="T56">
        <v>6.53</v>
      </c>
      <c r="U56">
        <v>0.7097</v>
      </c>
      <c r="V56" t="s">
        <v>20</v>
      </c>
    </row>
    <row r="57" spans="1:22" x14ac:dyDescent="0.35">
      <c r="A57" t="s">
        <v>76</v>
      </c>
      <c r="C57" t="s">
        <v>19</v>
      </c>
      <c r="D57" s="1">
        <v>757000</v>
      </c>
      <c r="E57" s="44">
        <f>VLOOKUP($A57,Sheet2!$A$28:$M$79,6,FALSE)</f>
        <v>87000000000</v>
      </c>
      <c r="F57" s="1">
        <f t="shared" si="0"/>
        <v>114927.34478203434</v>
      </c>
      <c r="H57" s="1">
        <v>372</v>
      </c>
      <c r="I57">
        <v>491</v>
      </c>
      <c r="J57">
        <v>42</v>
      </c>
      <c r="K57">
        <v>202</v>
      </c>
      <c r="L57">
        <v>82</v>
      </c>
      <c r="M57">
        <v>35</v>
      </c>
      <c r="N57">
        <v>54</v>
      </c>
      <c r="O57">
        <v>75</v>
      </c>
      <c r="P57">
        <v>35</v>
      </c>
      <c r="Q57">
        <v>27</v>
      </c>
      <c r="R57">
        <v>316</v>
      </c>
      <c r="S57">
        <v>193</v>
      </c>
      <c r="T57">
        <v>0.38</v>
      </c>
      <c r="U57">
        <v>0.72067000000000003</v>
      </c>
      <c r="V57" t="s">
        <v>20</v>
      </c>
    </row>
    <row r="58" spans="1:22" x14ac:dyDescent="0.35">
      <c r="A58" t="s">
        <v>77</v>
      </c>
      <c r="C58" t="s">
        <v>19</v>
      </c>
      <c r="D58" s="1">
        <v>504000</v>
      </c>
      <c r="E58" s="44">
        <f>VLOOKUP($A58,Sheet2!$A$28:$M$79,6,FALSE)</f>
        <v>21000000000</v>
      </c>
      <c r="F58" s="1">
        <f t="shared" si="0"/>
        <v>41666.666666666664</v>
      </c>
      <c r="H58" s="1">
        <v>54</v>
      </c>
      <c r="I58">
        <v>103</v>
      </c>
      <c r="J58">
        <v>274</v>
      </c>
      <c r="K58">
        <v>40</v>
      </c>
      <c r="L58">
        <v>609</v>
      </c>
      <c r="M58">
        <v>26</v>
      </c>
      <c r="N58">
        <v>1105</v>
      </c>
      <c r="O58">
        <v>424</v>
      </c>
      <c r="P58">
        <v>489</v>
      </c>
      <c r="Q58">
        <v>326</v>
      </c>
      <c r="R58">
        <v>2502</v>
      </c>
      <c r="S58">
        <v>57</v>
      </c>
      <c r="V58" t="s">
        <v>20</v>
      </c>
    </row>
    <row r="59" spans="1:22" x14ac:dyDescent="0.35">
      <c r="A59" t="s">
        <v>78</v>
      </c>
      <c r="C59" t="s">
        <v>19</v>
      </c>
      <c r="D59" s="1">
        <v>66300</v>
      </c>
      <c r="H59" s="1">
        <v>17.3</v>
      </c>
      <c r="I59">
        <v>261</v>
      </c>
      <c r="J59">
        <v>601</v>
      </c>
      <c r="L59">
        <v>1322</v>
      </c>
      <c r="M59">
        <v>103</v>
      </c>
      <c r="N59">
        <v>2750</v>
      </c>
      <c r="O59">
        <v>1202</v>
      </c>
      <c r="P59">
        <v>711</v>
      </c>
      <c r="Q59">
        <v>2333</v>
      </c>
      <c r="R59">
        <v>2918</v>
      </c>
      <c r="V59" t="s">
        <v>20</v>
      </c>
    </row>
    <row r="60" spans="1:22" x14ac:dyDescent="0.35">
      <c r="A60" t="s">
        <v>79</v>
      </c>
      <c r="C60" t="s">
        <v>19</v>
      </c>
      <c r="D60" s="1">
        <v>132000</v>
      </c>
      <c r="H60" s="1">
        <v>66</v>
      </c>
      <c r="I60">
        <v>500</v>
      </c>
      <c r="J60">
        <v>147</v>
      </c>
      <c r="K60">
        <v>909</v>
      </c>
      <c r="L60">
        <v>443</v>
      </c>
      <c r="M60">
        <v>38</v>
      </c>
      <c r="N60">
        <v>260</v>
      </c>
      <c r="O60">
        <v>391</v>
      </c>
      <c r="P60">
        <v>883</v>
      </c>
      <c r="Q60">
        <v>156</v>
      </c>
      <c r="R60">
        <v>998</v>
      </c>
      <c r="S60">
        <v>150</v>
      </c>
      <c r="V60" t="s">
        <v>20</v>
      </c>
    </row>
    <row r="61" spans="1:22" x14ac:dyDescent="0.35">
      <c r="A61" t="s">
        <v>80</v>
      </c>
      <c r="C61" t="s">
        <v>19</v>
      </c>
      <c r="D61" s="1">
        <v>112000</v>
      </c>
      <c r="H61" s="1">
        <v>18.3</v>
      </c>
      <c r="I61">
        <v>163</v>
      </c>
      <c r="J61">
        <v>529</v>
      </c>
      <c r="K61">
        <v>7</v>
      </c>
      <c r="L61">
        <v>2196</v>
      </c>
      <c r="M61">
        <v>544</v>
      </c>
      <c r="N61">
        <v>2150</v>
      </c>
      <c r="O61">
        <v>535</v>
      </c>
      <c r="P61">
        <v>3057</v>
      </c>
      <c r="Q61">
        <v>1052</v>
      </c>
      <c r="R61">
        <v>2459</v>
      </c>
      <c r="V61" t="s">
        <v>20</v>
      </c>
    </row>
    <row r="62" spans="1:22" x14ac:dyDescent="0.35">
      <c r="A62" t="s">
        <v>81</v>
      </c>
      <c r="C62" t="s">
        <v>19</v>
      </c>
      <c r="D62" s="1">
        <v>84000</v>
      </c>
      <c r="H62" s="1">
        <v>17.399999999999999</v>
      </c>
      <c r="I62">
        <v>207</v>
      </c>
      <c r="J62">
        <v>517</v>
      </c>
      <c r="K62">
        <v>86</v>
      </c>
      <c r="L62">
        <v>3283</v>
      </c>
      <c r="M62">
        <v>51</v>
      </c>
      <c r="N62">
        <v>1875</v>
      </c>
      <c r="O62">
        <v>646</v>
      </c>
      <c r="P62">
        <v>2071</v>
      </c>
      <c r="Q62">
        <v>1391</v>
      </c>
      <c r="R62">
        <v>2159</v>
      </c>
      <c r="S62">
        <v>177</v>
      </c>
      <c r="V62" t="s">
        <v>20</v>
      </c>
    </row>
    <row r="63" spans="1:22" x14ac:dyDescent="0.35">
      <c r="A63" t="s">
        <v>82</v>
      </c>
      <c r="C63" t="s">
        <v>19</v>
      </c>
      <c r="D63" s="1">
        <v>98200</v>
      </c>
      <c r="H63" s="1">
        <v>19.600000000000001</v>
      </c>
      <c r="I63">
        <v>200</v>
      </c>
      <c r="J63">
        <v>447</v>
      </c>
      <c r="K63">
        <v>34</v>
      </c>
      <c r="L63">
        <v>687</v>
      </c>
      <c r="M63">
        <v>26</v>
      </c>
      <c r="N63">
        <v>1735</v>
      </c>
      <c r="O63">
        <v>926</v>
      </c>
      <c r="P63">
        <v>791</v>
      </c>
      <c r="Q63">
        <v>626</v>
      </c>
      <c r="R63">
        <v>4075</v>
      </c>
      <c r="S63">
        <v>34</v>
      </c>
      <c r="V63" t="s">
        <v>20</v>
      </c>
    </row>
    <row r="64" spans="1:22" x14ac:dyDescent="0.35">
      <c r="A64" t="s">
        <v>180</v>
      </c>
      <c r="B64" t="s">
        <v>179</v>
      </c>
      <c r="C64" t="s">
        <v>185</v>
      </c>
      <c r="D64" s="1">
        <v>930</v>
      </c>
      <c r="E64" s="1">
        <v>5570000000</v>
      </c>
      <c r="F64" s="1">
        <v>5990000</v>
      </c>
      <c r="G64" s="1"/>
      <c r="H64" s="1">
        <f>I64*D64</f>
        <v>2361270</v>
      </c>
      <c r="I64">
        <v>2539</v>
      </c>
      <c r="V64" t="s">
        <v>178</v>
      </c>
    </row>
    <row r="65" spans="1:24" x14ac:dyDescent="0.35">
      <c r="A65" t="s">
        <v>181</v>
      </c>
      <c r="B65" t="s">
        <v>179</v>
      </c>
      <c r="C65" t="s">
        <v>182</v>
      </c>
      <c r="D65" s="1">
        <v>5618</v>
      </c>
      <c r="E65" s="1">
        <v>22590000000</v>
      </c>
      <c r="F65" s="1">
        <v>3580000</v>
      </c>
      <c r="G65" s="1"/>
      <c r="H65" s="1">
        <f t="shared" ref="H65:H78" si="1">I65*D65</f>
        <v>11831508</v>
      </c>
      <c r="I65">
        <v>2106</v>
      </c>
      <c r="V65" t="s">
        <v>178</v>
      </c>
    </row>
    <row r="66" spans="1:24" x14ac:dyDescent="0.35">
      <c r="A66" t="s">
        <v>334</v>
      </c>
      <c r="B66" t="s">
        <v>184</v>
      </c>
      <c r="C66" t="s">
        <v>185</v>
      </c>
      <c r="D66" s="1">
        <v>47</v>
      </c>
      <c r="F66" s="1">
        <f>70*22721.57</f>
        <v>1590509.9</v>
      </c>
      <c r="G66" s="1"/>
      <c r="H66" s="1">
        <f t="shared" si="1"/>
        <v>48880</v>
      </c>
      <c r="I66">
        <f>104*10</f>
        <v>1040</v>
      </c>
      <c r="V66" t="s">
        <v>331</v>
      </c>
      <c r="W66" t="s">
        <v>186</v>
      </c>
      <c r="X66" t="s">
        <v>458</v>
      </c>
    </row>
    <row r="67" spans="1:24" x14ac:dyDescent="0.35">
      <c r="A67" t="s">
        <v>332</v>
      </c>
      <c r="B67" t="s">
        <v>455</v>
      </c>
      <c r="C67" t="s">
        <v>165</v>
      </c>
      <c r="D67" s="1">
        <v>945000</v>
      </c>
      <c r="E67" s="1">
        <f>33000000*22721.57</f>
        <v>749811810000</v>
      </c>
      <c r="F67" s="1">
        <f>E67/D67</f>
        <v>793451.65079365077</v>
      </c>
      <c r="G67" s="1"/>
      <c r="V67" t="s">
        <v>331</v>
      </c>
      <c r="W67" t="s">
        <v>333</v>
      </c>
    </row>
    <row r="68" spans="1:24" x14ac:dyDescent="0.35">
      <c r="A68" t="s">
        <v>86</v>
      </c>
      <c r="B68" t="s">
        <v>87</v>
      </c>
      <c r="C68" t="s">
        <v>83</v>
      </c>
      <c r="D68" s="1">
        <v>21</v>
      </c>
      <c r="E68" s="1">
        <f>D68*F68</f>
        <v>21420000</v>
      </c>
      <c r="F68" s="1">
        <v>1020000</v>
      </c>
      <c r="H68" s="1">
        <f t="shared" si="1"/>
        <v>34692</v>
      </c>
      <c r="I68">
        <v>1652</v>
      </c>
      <c r="V68" t="s">
        <v>88</v>
      </c>
    </row>
    <row r="69" spans="1:24" x14ac:dyDescent="0.35">
      <c r="A69" t="s">
        <v>89</v>
      </c>
      <c r="B69" t="s">
        <v>87</v>
      </c>
      <c r="C69" t="s">
        <v>83</v>
      </c>
      <c r="D69" s="1">
        <v>31</v>
      </c>
      <c r="E69" s="1">
        <f t="shared" ref="E69:E120" si="2">D69*F69</f>
        <v>47120000</v>
      </c>
      <c r="F69" s="1">
        <v>1520000</v>
      </c>
      <c r="H69" s="1">
        <f t="shared" si="1"/>
        <v>91450</v>
      </c>
      <c r="I69">
        <v>2950</v>
      </c>
      <c r="V69" t="s">
        <v>88</v>
      </c>
    </row>
    <row r="70" spans="1:24" x14ac:dyDescent="0.35">
      <c r="A70" t="s">
        <v>90</v>
      </c>
      <c r="B70" t="s">
        <v>87</v>
      </c>
      <c r="C70" t="s">
        <v>83</v>
      </c>
      <c r="D70" s="1">
        <v>3</v>
      </c>
      <c r="E70" s="1">
        <f t="shared" si="2"/>
        <v>1719000</v>
      </c>
      <c r="F70" s="1">
        <v>573000</v>
      </c>
      <c r="H70" s="1">
        <f t="shared" si="1"/>
        <v>4731</v>
      </c>
      <c r="I70">
        <v>1577</v>
      </c>
      <c r="V70" t="s">
        <v>88</v>
      </c>
    </row>
    <row r="71" spans="1:24" x14ac:dyDescent="0.35">
      <c r="A71" t="s">
        <v>91</v>
      </c>
      <c r="B71" t="s">
        <v>87</v>
      </c>
      <c r="C71" t="s">
        <v>83</v>
      </c>
      <c r="D71" s="1">
        <v>0.8</v>
      </c>
      <c r="E71" s="1">
        <f t="shared" si="2"/>
        <v>152000</v>
      </c>
      <c r="F71" s="1">
        <v>190000</v>
      </c>
      <c r="H71" s="1">
        <f t="shared" si="1"/>
        <v>452</v>
      </c>
      <c r="I71">
        <v>565</v>
      </c>
      <c r="V71" t="s">
        <v>88</v>
      </c>
    </row>
    <row r="72" spans="1:24" x14ac:dyDescent="0.35">
      <c r="A72" t="s">
        <v>92</v>
      </c>
      <c r="B72" t="s">
        <v>87</v>
      </c>
      <c r="C72" t="s">
        <v>83</v>
      </c>
      <c r="D72" s="1">
        <v>70</v>
      </c>
      <c r="E72" s="1">
        <f t="shared" si="2"/>
        <v>110600000</v>
      </c>
      <c r="F72" s="1">
        <v>1580000</v>
      </c>
      <c r="H72" s="1">
        <f t="shared" si="1"/>
        <v>175770</v>
      </c>
      <c r="I72">
        <v>2511</v>
      </c>
      <c r="V72" t="s">
        <v>88</v>
      </c>
    </row>
    <row r="73" spans="1:24" x14ac:dyDescent="0.35">
      <c r="A73" t="s">
        <v>93</v>
      </c>
      <c r="B73" t="s">
        <v>87</v>
      </c>
      <c r="C73" t="s">
        <v>83</v>
      </c>
      <c r="D73" s="1">
        <v>3.4</v>
      </c>
      <c r="E73" s="1">
        <f t="shared" si="2"/>
        <v>2363000</v>
      </c>
      <c r="F73" s="1">
        <v>695000</v>
      </c>
      <c r="H73" s="1">
        <f t="shared" si="1"/>
        <v>632.4</v>
      </c>
      <c r="I73">
        <v>186</v>
      </c>
      <c r="V73" t="s">
        <v>88</v>
      </c>
    </row>
    <row r="74" spans="1:24" x14ac:dyDescent="0.35">
      <c r="A74" t="s">
        <v>94</v>
      </c>
      <c r="B74" t="s">
        <v>87</v>
      </c>
      <c r="C74" t="s">
        <v>83</v>
      </c>
      <c r="D74" s="1">
        <v>12</v>
      </c>
      <c r="E74" s="1">
        <f t="shared" si="2"/>
        <v>4272000</v>
      </c>
      <c r="F74" s="1">
        <v>356000</v>
      </c>
      <c r="H74" s="1">
        <f t="shared" si="1"/>
        <v>10620</v>
      </c>
      <c r="I74">
        <v>885</v>
      </c>
      <c r="V74" t="s">
        <v>88</v>
      </c>
    </row>
    <row r="75" spans="1:24" x14ac:dyDescent="0.35">
      <c r="A75" t="s">
        <v>95</v>
      </c>
      <c r="B75" t="s">
        <v>87</v>
      </c>
      <c r="C75" t="s">
        <v>83</v>
      </c>
      <c r="D75" s="1">
        <v>6.5</v>
      </c>
      <c r="E75" s="1">
        <f t="shared" si="2"/>
        <v>5921500</v>
      </c>
      <c r="F75" s="1">
        <v>911000</v>
      </c>
      <c r="H75" s="1">
        <f t="shared" si="1"/>
        <v>11459.5</v>
      </c>
      <c r="I75">
        <v>1763</v>
      </c>
      <c r="V75" t="s">
        <v>88</v>
      </c>
    </row>
    <row r="76" spans="1:24" x14ac:dyDescent="0.35">
      <c r="A76" t="s">
        <v>96</v>
      </c>
      <c r="B76" t="s">
        <v>87</v>
      </c>
      <c r="C76" t="s">
        <v>83</v>
      </c>
      <c r="D76" s="1">
        <v>18</v>
      </c>
      <c r="E76" s="1">
        <f t="shared" si="2"/>
        <v>25380000</v>
      </c>
      <c r="F76" s="1">
        <v>1410000</v>
      </c>
      <c r="H76" s="1">
        <f t="shared" si="1"/>
        <v>37836</v>
      </c>
      <c r="I76">
        <v>2102</v>
      </c>
      <c r="V76" t="s">
        <v>88</v>
      </c>
    </row>
    <row r="77" spans="1:24" x14ac:dyDescent="0.35">
      <c r="A77" t="s">
        <v>97</v>
      </c>
      <c r="B77" t="s">
        <v>87</v>
      </c>
      <c r="C77" t="s">
        <v>83</v>
      </c>
      <c r="D77" s="1">
        <v>20</v>
      </c>
      <c r="E77" s="1">
        <f t="shared" si="2"/>
        <v>17320000</v>
      </c>
      <c r="F77" s="1">
        <v>866000</v>
      </c>
      <c r="H77" s="1">
        <f t="shared" si="1"/>
        <v>63200</v>
      </c>
      <c r="I77">
        <v>3160</v>
      </c>
      <c r="V77" t="s">
        <v>88</v>
      </c>
    </row>
    <row r="78" spans="1:24" x14ac:dyDescent="0.35">
      <c r="A78" t="s">
        <v>98</v>
      </c>
      <c r="B78" t="s">
        <v>87</v>
      </c>
      <c r="C78" t="s">
        <v>83</v>
      </c>
      <c r="D78" s="1">
        <v>25</v>
      </c>
      <c r="E78" s="1">
        <f t="shared" si="2"/>
        <v>13300000</v>
      </c>
      <c r="F78" s="1">
        <v>532000</v>
      </c>
      <c r="H78" s="1">
        <f t="shared" si="1"/>
        <v>36800</v>
      </c>
      <c r="I78">
        <v>1472</v>
      </c>
      <c r="V78" t="s">
        <v>88</v>
      </c>
    </row>
    <row r="79" spans="1:24" x14ac:dyDescent="0.35">
      <c r="A79" t="s">
        <v>99</v>
      </c>
      <c r="B79" t="s">
        <v>84</v>
      </c>
      <c r="C79" t="s">
        <v>182</v>
      </c>
      <c r="D79" s="1">
        <v>705</v>
      </c>
      <c r="E79" s="1">
        <f t="shared" si="2"/>
        <v>600660000</v>
      </c>
      <c r="F79" s="1">
        <v>852000</v>
      </c>
      <c r="H79" s="1">
        <v>1.0729363679999999</v>
      </c>
      <c r="I79">
        <f>1000000*H79/D79</f>
        <v>1521.8955574468084</v>
      </c>
      <c r="V79" t="s">
        <v>100</v>
      </c>
    </row>
    <row r="80" spans="1:24" x14ac:dyDescent="0.35">
      <c r="A80" t="s">
        <v>101</v>
      </c>
      <c r="B80" t="s">
        <v>84</v>
      </c>
      <c r="C80" t="s">
        <v>182</v>
      </c>
      <c r="D80" s="1">
        <v>200</v>
      </c>
      <c r="E80" s="1">
        <f t="shared" si="2"/>
        <v>478000000</v>
      </c>
      <c r="F80" s="1">
        <v>2390000</v>
      </c>
      <c r="H80" s="1">
        <v>0.60273778320000004</v>
      </c>
      <c r="I80">
        <f t="shared" ref="I80:I91" si="3">1000000*H80/D80</f>
        <v>3013.6889160000005</v>
      </c>
      <c r="V80" t="s">
        <v>100</v>
      </c>
    </row>
    <row r="81" spans="1:22" x14ac:dyDescent="0.35">
      <c r="A81" t="s">
        <v>102</v>
      </c>
      <c r="B81" t="s">
        <v>84</v>
      </c>
      <c r="C81" t="s">
        <v>182</v>
      </c>
      <c r="D81" s="1">
        <v>11</v>
      </c>
      <c r="E81" s="1">
        <f t="shared" si="2"/>
        <v>32230000</v>
      </c>
      <c r="F81" s="1">
        <v>2930000</v>
      </c>
      <c r="H81" s="1">
        <v>4.7335427999999999E-2</v>
      </c>
      <c r="I81">
        <f t="shared" si="3"/>
        <v>4303.2207272727273</v>
      </c>
      <c r="V81" t="s">
        <v>100</v>
      </c>
    </row>
    <row r="82" spans="1:22" x14ac:dyDescent="0.35">
      <c r="A82" t="s">
        <v>103</v>
      </c>
      <c r="B82" t="s">
        <v>84</v>
      </c>
      <c r="C82" t="s">
        <v>182</v>
      </c>
      <c r="D82" s="1">
        <v>80</v>
      </c>
      <c r="E82" s="1">
        <f t="shared" si="2"/>
        <v>17360000</v>
      </c>
      <c r="F82" s="1">
        <v>217000</v>
      </c>
      <c r="H82" s="1">
        <v>1.8934171199999999E-2</v>
      </c>
      <c r="I82">
        <f t="shared" si="3"/>
        <v>236.67713999999995</v>
      </c>
      <c r="V82" t="s">
        <v>100</v>
      </c>
    </row>
    <row r="83" spans="1:22" x14ac:dyDescent="0.35">
      <c r="A83" t="s">
        <v>104</v>
      </c>
      <c r="B83" t="s">
        <v>84</v>
      </c>
      <c r="C83" t="s">
        <v>182</v>
      </c>
      <c r="D83" s="1">
        <v>47</v>
      </c>
      <c r="E83" s="1">
        <f t="shared" si="2"/>
        <v>84600000</v>
      </c>
      <c r="F83" s="1">
        <v>1800000</v>
      </c>
      <c r="H83" s="1">
        <v>8.8359465599999992E-2</v>
      </c>
      <c r="I83">
        <f t="shared" si="3"/>
        <v>1879.988629787234</v>
      </c>
      <c r="V83" t="s">
        <v>100</v>
      </c>
    </row>
    <row r="84" spans="1:22" x14ac:dyDescent="0.35">
      <c r="A84" t="s">
        <v>105</v>
      </c>
      <c r="B84" t="s">
        <v>84</v>
      </c>
      <c r="C84" t="s">
        <v>182</v>
      </c>
      <c r="D84" s="1">
        <v>202</v>
      </c>
      <c r="E84" s="1">
        <f t="shared" si="2"/>
        <v>238360000</v>
      </c>
      <c r="F84" s="1">
        <v>1180000</v>
      </c>
      <c r="H84" s="1">
        <v>0.22089866399999999</v>
      </c>
      <c r="I84">
        <f t="shared" si="3"/>
        <v>1093.5577425742574</v>
      </c>
      <c r="V84" t="s">
        <v>100</v>
      </c>
    </row>
    <row r="85" spans="1:22" x14ac:dyDescent="0.35">
      <c r="A85" t="s">
        <v>106</v>
      </c>
      <c r="B85" t="s">
        <v>84</v>
      </c>
      <c r="C85" t="s">
        <v>182</v>
      </c>
      <c r="D85" s="1">
        <v>88</v>
      </c>
      <c r="E85" s="1">
        <f t="shared" si="2"/>
        <v>147840000</v>
      </c>
      <c r="F85" s="1">
        <v>1680000</v>
      </c>
      <c r="H85" s="1">
        <v>0.1640961504</v>
      </c>
      <c r="I85">
        <f t="shared" si="3"/>
        <v>1864.7289818181819</v>
      </c>
      <c r="V85" t="s">
        <v>100</v>
      </c>
    </row>
    <row r="86" spans="1:22" x14ac:dyDescent="0.35">
      <c r="A86" t="s">
        <v>107</v>
      </c>
      <c r="B86" t="s">
        <v>84</v>
      </c>
      <c r="C86" t="s">
        <v>182</v>
      </c>
      <c r="D86" s="1">
        <v>462</v>
      </c>
      <c r="E86" s="1">
        <f t="shared" si="2"/>
        <v>212520000</v>
      </c>
      <c r="F86" s="1">
        <v>460000</v>
      </c>
      <c r="H86" s="1">
        <v>0.73527698159999999</v>
      </c>
      <c r="I86">
        <f t="shared" si="3"/>
        <v>1591.5086181818181</v>
      </c>
      <c r="V86" t="s">
        <v>100</v>
      </c>
    </row>
    <row r="87" spans="1:22" x14ac:dyDescent="0.35">
      <c r="A87" t="s">
        <v>108</v>
      </c>
      <c r="B87" t="s">
        <v>84</v>
      </c>
      <c r="C87" t="s">
        <v>182</v>
      </c>
      <c r="D87" s="1">
        <v>192</v>
      </c>
      <c r="E87" s="1">
        <f t="shared" si="2"/>
        <v>24576000</v>
      </c>
      <c r="F87" s="1">
        <v>128000</v>
      </c>
      <c r="H87" s="1">
        <v>4.7335427999999999E-2</v>
      </c>
      <c r="I87">
        <f t="shared" si="3"/>
        <v>246.53868750000001</v>
      </c>
      <c r="V87" t="s">
        <v>100</v>
      </c>
    </row>
    <row r="88" spans="1:22" x14ac:dyDescent="0.35">
      <c r="A88" t="s">
        <v>109</v>
      </c>
      <c r="B88" t="s">
        <v>84</v>
      </c>
      <c r="C88" t="s">
        <v>182</v>
      </c>
      <c r="D88" s="1">
        <v>6643</v>
      </c>
      <c r="E88" s="1">
        <f t="shared" si="2"/>
        <v>5653193000</v>
      </c>
      <c r="F88" s="1">
        <v>851000</v>
      </c>
      <c r="H88" s="1">
        <v>6.7531877279999994</v>
      </c>
      <c r="I88">
        <f t="shared" si="3"/>
        <v>1016.5870432033719</v>
      </c>
      <c r="V88" t="s">
        <v>100</v>
      </c>
    </row>
    <row r="89" spans="1:22" x14ac:dyDescent="0.35">
      <c r="A89" t="s">
        <v>110</v>
      </c>
      <c r="B89" t="s">
        <v>84</v>
      </c>
      <c r="C89" t="s">
        <v>182</v>
      </c>
      <c r="D89" s="1">
        <v>1917</v>
      </c>
      <c r="E89" s="1">
        <f t="shared" si="2"/>
        <v>1249884000</v>
      </c>
      <c r="F89" s="1">
        <v>652000</v>
      </c>
      <c r="H89" s="1">
        <v>1.2559666895999999</v>
      </c>
      <c r="I89">
        <f t="shared" si="3"/>
        <v>655.17302535211263</v>
      </c>
      <c r="V89" t="s">
        <v>100</v>
      </c>
    </row>
    <row r="90" spans="1:22" x14ac:dyDescent="0.35">
      <c r="A90" t="s">
        <v>111</v>
      </c>
      <c r="B90" t="s">
        <v>84</v>
      </c>
      <c r="C90" t="s">
        <v>182</v>
      </c>
      <c r="D90" s="1">
        <v>2684</v>
      </c>
      <c r="E90" s="1">
        <f t="shared" si="2"/>
        <v>928664000</v>
      </c>
      <c r="F90" s="1">
        <v>346000</v>
      </c>
      <c r="H90" s="1">
        <v>1.9880879759999999</v>
      </c>
      <c r="I90">
        <f t="shared" si="3"/>
        <v>740.71832190760051</v>
      </c>
      <c r="V90" t="s">
        <v>100</v>
      </c>
    </row>
    <row r="91" spans="1:22" x14ac:dyDescent="0.35">
      <c r="A91" t="s">
        <v>112</v>
      </c>
      <c r="B91" t="s">
        <v>84</v>
      </c>
      <c r="C91" t="s">
        <v>182</v>
      </c>
      <c r="D91" s="1">
        <v>305</v>
      </c>
      <c r="E91" s="1">
        <f t="shared" si="2"/>
        <v>266875000</v>
      </c>
      <c r="F91" s="1">
        <v>875000</v>
      </c>
      <c r="H91" s="1">
        <v>1.009822464</v>
      </c>
      <c r="I91">
        <f t="shared" si="3"/>
        <v>3310.8933245901635</v>
      </c>
      <c r="V91" t="s">
        <v>100</v>
      </c>
    </row>
    <row r="92" spans="1:22" x14ac:dyDescent="0.35">
      <c r="A92" t="s">
        <v>113</v>
      </c>
      <c r="B92" t="s">
        <v>114</v>
      </c>
      <c r="C92" t="s">
        <v>83</v>
      </c>
      <c r="D92" s="1">
        <v>1628</v>
      </c>
      <c r="E92" s="1">
        <f t="shared" si="2"/>
        <v>2279200000</v>
      </c>
      <c r="F92" s="1">
        <v>1400000</v>
      </c>
      <c r="V92" t="s">
        <v>115</v>
      </c>
    </row>
    <row r="93" spans="1:22" x14ac:dyDescent="0.35">
      <c r="A93" t="s">
        <v>116</v>
      </c>
      <c r="B93" t="s">
        <v>114</v>
      </c>
      <c r="C93" t="s">
        <v>83</v>
      </c>
      <c r="D93" s="1">
        <v>1128</v>
      </c>
      <c r="E93" s="1">
        <f t="shared" si="2"/>
        <v>1240800000</v>
      </c>
      <c r="F93" s="1">
        <v>1100000</v>
      </c>
      <c r="V93" t="s">
        <v>115</v>
      </c>
    </row>
    <row r="94" spans="1:22" x14ac:dyDescent="0.35">
      <c r="A94" t="s">
        <v>117</v>
      </c>
      <c r="B94" t="s">
        <v>118</v>
      </c>
      <c r="C94" t="s">
        <v>83</v>
      </c>
      <c r="F94" s="1">
        <v>1350000</v>
      </c>
      <c r="V94" t="s">
        <v>119</v>
      </c>
    </row>
    <row r="95" spans="1:22" x14ac:dyDescent="0.35">
      <c r="A95" t="s">
        <v>120</v>
      </c>
      <c r="B95" t="s">
        <v>118</v>
      </c>
      <c r="C95" t="s">
        <v>83</v>
      </c>
      <c r="F95" s="1">
        <v>1500000</v>
      </c>
      <c r="V95" t="s">
        <v>119</v>
      </c>
    </row>
    <row r="96" spans="1:22" x14ac:dyDescent="0.35">
      <c r="A96" t="s">
        <v>121</v>
      </c>
      <c r="B96" t="s">
        <v>118</v>
      </c>
      <c r="C96" t="s">
        <v>83</v>
      </c>
      <c r="F96" s="1">
        <v>2540000</v>
      </c>
      <c r="V96" t="s">
        <v>119</v>
      </c>
    </row>
    <row r="97" spans="1:22" x14ac:dyDescent="0.35">
      <c r="A97" t="s">
        <v>122</v>
      </c>
      <c r="B97" t="s">
        <v>118</v>
      </c>
      <c r="C97" t="s">
        <v>83</v>
      </c>
      <c r="F97" s="1">
        <v>1110000</v>
      </c>
      <c r="V97" t="s">
        <v>119</v>
      </c>
    </row>
    <row r="98" spans="1:22" x14ac:dyDescent="0.35">
      <c r="A98" t="s">
        <v>123</v>
      </c>
      <c r="B98" t="s">
        <v>118</v>
      </c>
      <c r="C98" t="s">
        <v>83</v>
      </c>
      <c r="F98" s="1">
        <v>1470000</v>
      </c>
      <c r="V98" t="s">
        <v>119</v>
      </c>
    </row>
    <row r="99" spans="1:22" x14ac:dyDescent="0.35">
      <c r="A99" t="s">
        <v>124</v>
      </c>
      <c r="B99" t="s">
        <v>118</v>
      </c>
      <c r="C99" t="s">
        <v>83</v>
      </c>
      <c r="F99" s="1">
        <v>1320000</v>
      </c>
      <c r="V99" t="s">
        <v>119</v>
      </c>
    </row>
    <row r="100" spans="1:22" x14ac:dyDescent="0.35">
      <c r="A100" t="s">
        <v>125</v>
      </c>
      <c r="B100" t="s">
        <v>118</v>
      </c>
      <c r="C100" t="s">
        <v>83</v>
      </c>
      <c r="F100" s="1">
        <v>1000000</v>
      </c>
      <c r="V100" t="s">
        <v>119</v>
      </c>
    </row>
    <row r="101" spans="1:22" x14ac:dyDescent="0.35">
      <c r="A101" t="s">
        <v>126</v>
      </c>
      <c r="B101" t="s">
        <v>118</v>
      </c>
      <c r="C101" t="s">
        <v>83</v>
      </c>
      <c r="F101" s="1">
        <v>1640000</v>
      </c>
      <c r="V101" t="s">
        <v>119</v>
      </c>
    </row>
    <row r="102" spans="1:22" x14ac:dyDescent="0.35">
      <c r="A102" t="s">
        <v>124</v>
      </c>
      <c r="B102" t="s">
        <v>118</v>
      </c>
      <c r="C102" t="s">
        <v>83</v>
      </c>
      <c r="F102" s="1">
        <v>1410000</v>
      </c>
      <c r="V102" t="s">
        <v>119</v>
      </c>
    </row>
    <row r="103" spans="1:22" x14ac:dyDescent="0.35">
      <c r="A103" t="s">
        <v>127</v>
      </c>
      <c r="B103" t="s">
        <v>118</v>
      </c>
      <c r="C103" t="s">
        <v>83</v>
      </c>
      <c r="F103" s="1">
        <v>1280000</v>
      </c>
      <c r="V103" t="s">
        <v>119</v>
      </c>
    </row>
    <row r="104" spans="1:22" x14ac:dyDescent="0.35">
      <c r="A104" t="s">
        <v>128</v>
      </c>
      <c r="B104" t="s">
        <v>118</v>
      </c>
      <c r="C104" t="s">
        <v>83</v>
      </c>
      <c r="F104" s="1">
        <v>1710000</v>
      </c>
      <c r="V104" t="s">
        <v>119</v>
      </c>
    </row>
    <row r="105" spans="1:22" x14ac:dyDescent="0.35">
      <c r="A105" t="s">
        <v>129</v>
      </c>
      <c r="B105" t="s">
        <v>118</v>
      </c>
      <c r="C105" t="s">
        <v>83</v>
      </c>
      <c r="F105" s="1">
        <v>770000</v>
      </c>
      <c r="V105" t="s">
        <v>119</v>
      </c>
    </row>
    <row r="106" spans="1:22" x14ac:dyDescent="0.35">
      <c r="A106" t="s">
        <v>130</v>
      </c>
      <c r="B106" t="s">
        <v>118</v>
      </c>
      <c r="C106" t="s">
        <v>83</v>
      </c>
      <c r="F106" s="1">
        <v>860000</v>
      </c>
      <c r="V106" t="s">
        <v>119</v>
      </c>
    </row>
    <row r="107" spans="1:22" x14ac:dyDescent="0.35">
      <c r="A107" t="s">
        <v>131</v>
      </c>
      <c r="B107" t="s">
        <v>118</v>
      </c>
      <c r="C107" t="s">
        <v>83</v>
      </c>
      <c r="F107" s="1">
        <v>760000</v>
      </c>
      <c r="V107" t="s">
        <v>119</v>
      </c>
    </row>
    <row r="108" spans="1:22" x14ac:dyDescent="0.35">
      <c r="A108" t="s">
        <v>125</v>
      </c>
      <c r="B108" t="s">
        <v>118</v>
      </c>
      <c r="C108" t="s">
        <v>83</v>
      </c>
      <c r="F108" s="1">
        <v>630000</v>
      </c>
      <c r="V108" t="s">
        <v>119</v>
      </c>
    </row>
    <row r="109" spans="1:22" x14ac:dyDescent="0.35">
      <c r="A109" t="s">
        <v>132</v>
      </c>
      <c r="B109" t="s">
        <v>118</v>
      </c>
      <c r="C109" t="s">
        <v>83</v>
      </c>
      <c r="F109" s="1">
        <v>1380000</v>
      </c>
      <c r="V109" t="s">
        <v>119</v>
      </c>
    </row>
    <row r="110" spans="1:22" x14ac:dyDescent="0.35">
      <c r="A110" t="s">
        <v>133</v>
      </c>
      <c r="B110" t="s">
        <v>118</v>
      </c>
      <c r="C110" t="s">
        <v>83</v>
      </c>
      <c r="F110" s="1">
        <v>1020000</v>
      </c>
      <c r="V110" t="s">
        <v>119</v>
      </c>
    </row>
    <row r="111" spans="1:22" x14ac:dyDescent="0.35">
      <c r="A111" t="s">
        <v>134</v>
      </c>
      <c r="B111" t="s">
        <v>118</v>
      </c>
      <c r="C111" t="s">
        <v>83</v>
      </c>
      <c r="F111" s="1">
        <v>1250000</v>
      </c>
      <c r="V111" t="s">
        <v>119</v>
      </c>
    </row>
    <row r="112" spans="1:22" x14ac:dyDescent="0.35">
      <c r="A112" t="s">
        <v>135</v>
      </c>
      <c r="B112" t="s">
        <v>118</v>
      </c>
      <c r="C112" t="s">
        <v>83</v>
      </c>
      <c r="F112" s="1">
        <v>950000</v>
      </c>
      <c r="V112" t="s">
        <v>119</v>
      </c>
    </row>
    <row r="113" spans="1:23" x14ac:dyDescent="0.35">
      <c r="A113" t="s">
        <v>136</v>
      </c>
      <c r="B113" t="s">
        <v>118</v>
      </c>
      <c r="C113" t="s">
        <v>83</v>
      </c>
      <c r="D113" s="1">
        <v>500000</v>
      </c>
      <c r="E113" s="1">
        <f t="shared" si="2"/>
        <v>630000000000</v>
      </c>
      <c r="F113" s="1">
        <v>1260000</v>
      </c>
      <c r="H113" s="1">
        <f>(I113/1000000)*D113</f>
        <v>231.5</v>
      </c>
      <c r="I113">
        <v>463</v>
      </c>
      <c r="V113" t="s">
        <v>119</v>
      </c>
    </row>
    <row r="114" spans="1:23" x14ac:dyDescent="0.35">
      <c r="A114" t="s">
        <v>137</v>
      </c>
      <c r="B114" t="s">
        <v>138</v>
      </c>
      <c r="C114" t="s">
        <v>83</v>
      </c>
      <c r="D114" s="1">
        <v>346</v>
      </c>
      <c r="E114" s="1">
        <f t="shared" si="2"/>
        <v>138400000</v>
      </c>
      <c r="F114" s="1">
        <v>400000</v>
      </c>
      <c r="H114" s="1">
        <f>(I114/1000000)*D114</f>
        <v>0.19549</v>
      </c>
      <c r="I114">
        <v>565</v>
      </c>
      <c r="V114" t="s">
        <v>139</v>
      </c>
    </row>
    <row r="115" spans="1:23" x14ac:dyDescent="0.35">
      <c r="A115" t="s">
        <v>140</v>
      </c>
      <c r="B115" t="s">
        <v>141</v>
      </c>
      <c r="C115" t="s">
        <v>83</v>
      </c>
      <c r="D115" s="1">
        <v>95</v>
      </c>
      <c r="E115" s="1">
        <f t="shared" si="2"/>
        <v>142500000</v>
      </c>
      <c r="F115" s="1">
        <v>1500000</v>
      </c>
      <c r="H115" s="1">
        <f t="shared" ref="H115:H138" si="4">(I115/1000000)*D115</f>
        <v>6.0325000000000004E-2</v>
      </c>
      <c r="I115">
        <v>635</v>
      </c>
      <c r="V115" t="s">
        <v>335</v>
      </c>
    </row>
    <row r="116" spans="1:23" x14ac:dyDescent="0.35">
      <c r="A116" t="s">
        <v>142</v>
      </c>
      <c r="B116" t="s">
        <v>141</v>
      </c>
      <c r="C116" t="s">
        <v>83</v>
      </c>
      <c r="D116" s="1">
        <v>145</v>
      </c>
      <c r="E116" s="1">
        <f t="shared" si="2"/>
        <v>319000000</v>
      </c>
      <c r="F116" s="1">
        <v>2200000</v>
      </c>
      <c r="H116" s="1">
        <f t="shared" si="4"/>
        <v>0.1885</v>
      </c>
      <c r="I116">
        <v>1300</v>
      </c>
      <c r="V116" t="s">
        <v>335</v>
      </c>
    </row>
    <row r="117" spans="1:23" x14ac:dyDescent="0.35">
      <c r="A117" t="s">
        <v>143</v>
      </c>
      <c r="B117" t="s">
        <v>141</v>
      </c>
      <c r="C117" t="s">
        <v>83</v>
      </c>
      <c r="D117" s="1">
        <v>114</v>
      </c>
      <c r="E117" s="1">
        <f t="shared" si="2"/>
        <v>239400000</v>
      </c>
      <c r="F117" s="1">
        <v>2100000</v>
      </c>
      <c r="H117" s="1">
        <f t="shared" si="4"/>
        <v>0.14250000000000002</v>
      </c>
      <c r="I117">
        <v>1250</v>
      </c>
      <c r="V117" t="s">
        <v>335</v>
      </c>
    </row>
    <row r="118" spans="1:23" x14ac:dyDescent="0.35">
      <c r="A118" t="s">
        <v>144</v>
      </c>
      <c r="B118" t="s">
        <v>141</v>
      </c>
      <c r="C118" t="s">
        <v>83</v>
      </c>
      <c r="D118" s="1">
        <v>33</v>
      </c>
      <c r="E118" s="1">
        <f t="shared" si="2"/>
        <v>69300000</v>
      </c>
      <c r="F118" s="1">
        <v>2100000</v>
      </c>
      <c r="H118" s="1">
        <f t="shared" si="4"/>
        <v>8.1509999999999999E-2</v>
      </c>
      <c r="I118">
        <v>2470</v>
      </c>
      <c r="V118" t="s">
        <v>335</v>
      </c>
    </row>
    <row r="119" spans="1:23" x14ac:dyDescent="0.35">
      <c r="A119" t="s">
        <v>145</v>
      </c>
      <c r="B119" t="s">
        <v>141</v>
      </c>
      <c r="C119" t="s">
        <v>83</v>
      </c>
      <c r="D119" s="1">
        <v>32</v>
      </c>
      <c r="E119" s="1">
        <f t="shared" si="2"/>
        <v>140800000</v>
      </c>
      <c r="F119" s="1">
        <v>4400000</v>
      </c>
      <c r="H119" s="1">
        <f t="shared" si="4"/>
        <v>0.22592000000000001</v>
      </c>
      <c r="I119">
        <v>7060</v>
      </c>
      <c r="V119" t="s">
        <v>335</v>
      </c>
    </row>
    <row r="120" spans="1:23" x14ac:dyDescent="0.35">
      <c r="A120" t="s">
        <v>146</v>
      </c>
      <c r="B120" t="s">
        <v>141</v>
      </c>
      <c r="C120" t="s">
        <v>83</v>
      </c>
      <c r="D120" s="1">
        <v>109</v>
      </c>
      <c r="E120" s="1">
        <f t="shared" si="2"/>
        <v>141700000</v>
      </c>
      <c r="F120" s="1">
        <v>1300000</v>
      </c>
      <c r="H120" s="1">
        <f t="shared" si="4"/>
        <v>0.20491999999999999</v>
      </c>
      <c r="I120">
        <v>1880</v>
      </c>
      <c r="V120" t="s">
        <v>335</v>
      </c>
    </row>
    <row r="121" spans="1:23" x14ac:dyDescent="0.35">
      <c r="A121" t="s">
        <v>147</v>
      </c>
      <c r="C121" t="s">
        <v>83</v>
      </c>
      <c r="D121" s="1">
        <v>807000</v>
      </c>
      <c r="E121" s="1">
        <v>121000000000</v>
      </c>
      <c r="F121" s="1">
        <v>150000</v>
      </c>
      <c r="H121" s="1">
        <f t="shared" si="4"/>
        <v>104.10299999999999</v>
      </c>
      <c r="I121" s="1">
        <v>129</v>
      </c>
      <c r="V121" t="s">
        <v>148</v>
      </c>
      <c r="W121" s="1"/>
    </row>
    <row r="122" spans="1:23" x14ac:dyDescent="0.35">
      <c r="A122" t="s">
        <v>149</v>
      </c>
      <c r="C122" t="s">
        <v>83</v>
      </c>
      <c r="D122" s="1">
        <v>796000</v>
      </c>
      <c r="E122" s="1">
        <v>53000000000</v>
      </c>
      <c r="F122" s="1">
        <v>66600</v>
      </c>
      <c r="H122" s="1">
        <f t="shared" si="4"/>
        <v>319.99200000000002</v>
      </c>
      <c r="I122" s="1">
        <v>402</v>
      </c>
      <c r="V122" t="s">
        <v>148</v>
      </c>
      <c r="W122" s="1"/>
    </row>
    <row r="123" spans="1:23" x14ac:dyDescent="0.35">
      <c r="A123" t="s">
        <v>45</v>
      </c>
      <c r="C123" t="s">
        <v>83</v>
      </c>
      <c r="D123" s="1">
        <v>568000</v>
      </c>
      <c r="E123" s="1">
        <v>318000000000</v>
      </c>
      <c r="F123" s="1">
        <v>560000</v>
      </c>
      <c r="H123" s="1">
        <f t="shared" si="4"/>
        <v>282.86399999999998</v>
      </c>
      <c r="I123" s="1">
        <v>498</v>
      </c>
      <c r="V123" t="s">
        <v>148</v>
      </c>
      <c r="W123" s="1"/>
    </row>
    <row r="124" spans="1:23" x14ac:dyDescent="0.35">
      <c r="A124" t="s">
        <v>150</v>
      </c>
      <c r="C124" t="s">
        <v>83</v>
      </c>
      <c r="D124" s="1">
        <v>538000</v>
      </c>
      <c r="E124" s="1">
        <v>1030000000000</v>
      </c>
      <c r="F124" s="1">
        <v>1920000</v>
      </c>
      <c r="H124" s="1">
        <f t="shared" si="4"/>
        <v>738.13599999999997</v>
      </c>
      <c r="I124" s="1">
        <v>1372</v>
      </c>
      <c r="V124" t="s">
        <v>148</v>
      </c>
      <c r="W124" s="1"/>
    </row>
    <row r="125" spans="1:23" x14ac:dyDescent="0.35">
      <c r="A125" t="s">
        <v>151</v>
      </c>
      <c r="C125" t="s">
        <v>83</v>
      </c>
      <c r="D125" s="1">
        <v>532000</v>
      </c>
      <c r="E125" s="1">
        <v>392000000000</v>
      </c>
      <c r="F125" s="1">
        <v>737000</v>
      </c>
      <c r="H125" s="1">
        <f t="shared" si="4"/>
        <v>225.56800000000001</v>
      </c>
      <c r="I125" s="1">
        <v>424</v>
      </c>
      <c r="V125" t="s">
        <v>148</v>
      </c>
      <c r="W125" s="1"/>
    </row>
    <row r="126" spans="1:23" x14ac:dyDescent="0.35">
      <c r="A126" t="s">
        <v>152</v>
      </c>
      <c r="C126" t="s">
        <v>83</v>
      </c>
      <c r="D126" s="1">
        <v>373000</v>
      </c>
      <c r="E126" s="1">
        <v>151000000000</v>
      </c>
      <c r="F126" s="1">
        <v>405000</v>
      </c>
      <c r="H126" s="1">
        <f t="shared" si="4"/>
        <v>272.66300000000001</v>
      </c>
      <c r="I126" s="1">
        <v>731</v>
      </c>
      <c r="V126" t="s">
        <v>148</v>
      </c>
      <c r="W126" s="1"/>
    </row>
    <row r="127" spans="1:23" x14ac:dyDescent="0.35">
      <c r="A127" t="s">
        <v>153</v>
      </c>
      <c r="C127" t="s">
        <v>83</v>
      </c>
      <c r="D127" s="1">
        <v>327000</v>
      </c>
      <c r="E127" s="1">
        <v>47000000000</v>
      </c>
      <c r="F127" s="1">
        <v>144000</v>
      </c>
      <c r="H127" s="1">
        <f t="shared" si="4"/>
        <v>57.552</v>
      </c>
      <c r="I127" s="1">
        <v>176</v>
      </c>
      <c r="V127" t="s">
        <v>148</v>
      </c>
      <c r="W127" s="1"/>
    </row>
    <row r="128" spans="1:23" x14ac:dyDescent="0.35">
      <c r="A128" t="s">
        <v>154</v>
      </c>
      <c r="C128" t="s">
        <v>83</v>
      </c>
      <c r="D128" s="1">
        <v>309000</v>
      </c>
      <c r="E128" s="1">
        <v>356000000000</v>
      </c>
      <c r="F128" s="1">
        <v>1150000</v>
      </c>
      <c r="H128" s="1">
        <f t="shared" si="4"/>
        <v>235.767</v>
      </c>
      <c r="I128" s="1">
        <v>763</v>
      </c>
      <c r="V128" t="s">
        <v>148</v>
      </c>
      <c r="W128" s="1"/>
    </row>
    <row r="129" spans="1:23" x14ac:dyDescent="0.35">
      <c r="A129" t="s">
        <v>155</v>
      </c>
      <c r="C129" t="s">
        <v>83</v>
      </c>
      <c r="D129" s="1">
        <v>219000</v>
      </c>
      <c r="E129" s="1">
        <v>1000000000</v>
      </c>
      <c r="F129" s="1">
        <v>4570</v>
      </c>
      <c r="H129" s="1">
        <f t="shared" si="4"/>
        <v>0.876</v>
      </c>
      <c r="I129" s="1">
        <v>4</v>
      </c>
      <c r="V129" t="s">
        <v>148</v>
      </c>
      <c r="W129" s="1"/>
    </row>
    <row r="130" spans="1:23" x14ac:dyDescent="0.35">
      <c r="A130" t="s">
        <v>156</v>
      </c>
      <c r="C130" t="s">
        <v>83</v>
      </c>
      <c r="D130" s="1">
        <v>216000</v>
      </c>
      <c r="E130" s="1">
        <v>24000000000</v>
      </c>
      <c r="F130" s="1">
        <v>111000</v>
      </c>
      <c r="H130" s="1">
        <f t="shared" si="4"/>
        <v>22.032</v>
      </c>
      <c r="I130" s="1">
        <v>102</v>
      </c>
      <c r="V130" t="s">
        <v>148</v>
      </c>
      <c r="W130" s="1"/>
    </row>
    <row r="131" spans="1:23" x14ac:dyDescent="0.35">
      <c r="A131" t="s">
        <v>157</v>
      </c>
      <c r="C131" t="s">
        <v>83</v>
      </c>
      <c r="D131" s="1">
        <v>209000</v>
      </c>
      <c r="E131" s="1">
        <v>18000000000</v>
      </c>
      <c r="F131" s="1">
        <v>86100</v>
      </c>
      <c r="H131" s="1">
        <f t="shared" si="4"/>
        <v>31.559000000000001</v>
      </c>
      <c r="I131" s="1">
        <v>151</v>
      </c>
      <c r="V131" t="s">
        <v>148</v>
      </c>
      <c r="W131" s="1"/>
    </row>
    <row r="132" spans="1:23" x14ac:dyDescent="0.35">
      <c r="A132" t="s">
        <v>85</v>
      </c>
      <c r="C132" t="s">
        <v>83</v>
      </c>
      <c r="D132" s="1">
        <v>173000</v>
      </c>
      <c r="E132" s="1">
        <v>31000000000</v>
      </c>
      <c r="F132" s="1">
        <v>179000</v>
      </c>
      <c r="H132" s="1">
        <f t="shared" si="4"/>
        <v>129.75</v>
      </c>
      <c r="I132" s="1">
        <v>750</v>
      </c>
      <c r="V132" t="s">
        <v>148</v>
      </c>
      <c r="W132" s="1"/>
    </row>
    <row r="133" spans="1:23" x14ac:dyDescent="0.35">
      <c r="A133" t="s">
        <v>158</v>
      </c>
      <c r="C133" t="s">
        <v>83</v>
      </c>
      <c r="D133" s="1">
        <v>154000</v>
      </c>
      <c r="E133" s="1">
        <v>34000000000</v>
      </c>
      <c r="F133" s="1">
        <v>221000</v>
      </c>
      <c r="H133" s="1">
        <f t="shared" si="4"/>
        <v>57.134</v>
      </c>
      <c r="I133" s="1">
        <v>371</v>
      </c>
      <c r="V133" t="s">
        <v>148</v>
      </c>
      <c r="W133" s="1"/>
    </row>
    <row r="134" spans="1:23" x14ac:dyDescent="0.35">
      <c r="A134" t="s">
        <v>159</v>
      </c>
      <c r="C134" t="s">
        <v>83</v>
      </c>
      <c r="D134" s="1">
        <v>105000</v>
      </c>
      <c r="E134" s="1">
        <v>70000000000</v>
      </c>
      <c r="F134" s="1">
        <v>667000</v>
      </c>
      <c r="H134" s="1">
        <f t="shared" si="4"/>
        <v>198.345</v>
      </c>
      <c r="I134" s="1">
        <v>1889</v>
      </c>
      <c r="V134" t="s">
        <v>148</v>
      </c>
      <c r="W134" s="1"/>
    </row>
    <row r="135" spans="1:23" x14ac:dyDescent="0.35">
      <c r="A135" t="s">
        <v>160</v>
      </c>
      <c r="C135" t="s">
        <v>83</v>
      </c>
      <c r="D135" s="1">
        <v>99000</v>
      </c>
      <c r="E135" s="1">
        <v>4000000000</v>
      </c>
      <c r="F135" s="1">
        <v>40400</v>
      </c>
      <c r="H135" s="1">
        <f t="shared" si="4"/>
        <v>36.036000000000001</v>
      </c>
      <c r="I135" s="1">
        <v>364</v>
      </c>
      <c r="V135" t="s">
        <v>148</v>
      </c>
      <c r="W135" s="1"/>
    </row>
    <row r="136" spans="1:23" x14ac:dyDescent="0.35">
      <c r="A136" t="s">
        <v>161</v>
      </c>
      <c r="C136" t="s">
        <v>83</v>
      </c>
      <c r="D136" s="1">
        <v>81000</v>
      </c>
      <c r="E136" s="1">
        <v>17000000000</v>
      </c>
      <c r="F136" s="1">
        <v>210000</v>
      </c>
      <c r="H136" s="1">
        <f t="shared" si="4"/>
        <v>32.724000000000004</v>
      </c>
      <c r="I136" s="1">
        <v>404</v>
      </c>
      <c r="V136" t="s">
        <v>148</v>
      </c>
      <c r="W136" s="1"/>
    </row>
    <row r="137" spans="1:23" x14ac:dyDescent="0.35">
      <c r="A137" t="s">
        <v>162</v>
      </c>
      <c r="C137" t="s">
        <v>83</v>
      </c>
      <c r="D137" s="1">
        <v>38000</v>
      </c>
      <c r="E137" s="1">
        <v>6000000000</v>
      </c>
      <c r="F137" s="1">
        <v>158000</v>
      </c>
      <c r="H137" s="1">
        <f t="shared" si="4"/>
        <v>16.757999999999999</v>
      </c>
      <c r="I137" s="1">
        <v>441</v>
      </c>
      <c r="V137" t="s">
        <v>148</v>
      </c>
      <c r="W137" s="1"/>
    </row>
    <row r="138" spans="1:23" x14ac:dyDescent="0.35">
      <c r="A138" t="s">
        <v>163</v>
      </c>
      <c r="C138" t="s">
        <v>83</v>
      </c>
      <c r="D138" s="1">
        <v>1310000</v>
      </c>
      <c r="E138" s="1">
        <v>433000000000</v>
      </c>
      <c r="F138" s="1">
        <v>332000</v>
      </c>
      <c r="H138" s="1">
        <f t="shared" si="4"/>
        <v>550.20000000000005</v>
      </c>
      <c r="I138" s="1">
        <v>420</v>
      </c>
      <c r="V138" t="s">
        <v>148</v>
      </c>
      <c r="W138" s="1"/>
    </row>
    <row r="139" spans="1:23" ht="58" x14ac:dyDescent="0.35">
      <c r="A139" t="s">
        <v>183</v>
      </c>
      <c r="B139" s="2" t="s">
        <v>164</v>
      </c>
      <c r="C139" t="s">
        <v>182</v>
      </c>
      <c r="D139" s="1">
        <v>400000</v>
      </c>
      <c r="E139" s="1">
        <v>970000000000</v>
      </c>
      <c r="F139" s="1">
        <f>E139/D139</f>
        <v>2425000</v>
      </c>
      <c r="V139" t="s">
        <v>148</v>
      </c>
      <c r="W139" s="1"/>
    </row>
    <row r="140" spans="1:23" x14ac:dyDescent="0.35">
      <c r="A140" t="s">
        <v>166</v>
      </c>
      <c r="B140" t="s">
        <v>167</v>
      </c>
      <c r="C140" t="s">
        <v>165</v>
      </c>
      <c r="D140" s="1">
        <f>SUM(D121:D139)</f>
        <v>7254000</v>
      </c>
      <c r="E140" s="1">
        <v>4080000000000</v>
      </c>
      <c r="F140" s="1">
        <f>E140/D140</f>
        <v>562448.30438378826</v>
      </c>
      <c r="G140" s="1"/>
      <c r="V140" t="s">
        <v>148</v>
      </c>
      <c r="W140" s="1"/>
    </row>
    <row r="141" spans="1:23" x14ac:dyDescent="0.35">
      <c r="A141" t="s">
        <v>446</v>
      </c>
      <c r="B141" t="s">
        <v>445</v>
      </c>
      <c r="C141" t="s">
        <v>185</v>
      </c>
      <c r="D141" s="1">
        <v>44</v>
      </c>
      <c r="E141" s="1">
        <f t="shared" ref="E141:E149" si="5">D141*F141</f>
        <v>5236000</v>
      </c>
      <c r="F141" s="1">
        <v>119000</v>
      </c>
      <c r="H141" s="1">
        <f t="shared" ref="H141:H146" si="6">(I141/1000000)*D141</f>
        <v>1.0414799999999998E-2</v>
      </c>
      <c r="I141">
        <v>236.7</v>
      </c>
      <c r="V141" t="s">
        <v>336</v>
      </c>
    </row>
    <row r="142" spans="1:23" x14ac:dyDescent="0.35">
      <c r="A142" t="s">
        <v>447</v>
      </c>
      <c r="B142" t="s">
        <v>445</v>
      </c>
      <c r="C142" t="s">
        <v>185</v>
      </c>
      <c r="D142" s="1">
        <v>36.4</v>
      </c>
      <c r="E142" s="1">
        <f t="shared" si="5"/>
        <v>3931200</v>
      </c>
      <c r="F142" s="1">
        <v>108000</v>
      </c>
      <c r="H142" s="1">
        <f t="shared" si="6"/>
        <v>8.6158799999999994E-3</v>
      </c>
      <c r="I142">
        <v>236.7</v>
      </c>
      <c r="V142" t="s">
        <v>336</v>
      </c>
    </row>
    <row r="143" spans="1:23" x14ac:dyDescent="0.35">
      <c r="A143" t="s">
        <v>448</v>
      </c>
      <c r="B143" t="s">
        <v>445</v>
      </c>
      <c r="C143" t="s">
        <v>185</v>
      </c>
      <c r="D143" s="1">
        <v>65.099999999999994</v>
      </c>
      <c r="E143" s="1">
        <f t="shared" si="5"/>
        <v>3782309.9999999995</v>
      </c>
      <c r="F143" s="1">
        <v>58100</v>
      </c>
      <c r="H143" s="1">
        <f t="shared" si="6"/>
        <v>1.3970980799999998E-2</v>
      </c>
      <c r="I143">
        <v>214.60799999999998</v>
      </c>
      <c r="V143" t="s">
        <v>336</v>
      </c>
    </row>
    <row r="144" spans="1:23" x14ac:dyDescent="0.35">
      <c r="A144" t="s">
        <v>449</v>
      </c>
      <c r="B144" t="s">
        <v>445</v>
      </c>
      <c r="C144" t="s">
        <v>185</v>
      </c>
      <c r="D144" s="1">
        <v>44</v>
      </c>
      <c r="E144" s="1">
        <f t="shared" si="5"/>
        <v>11836000</v>
      </c>
      <c r="F144" s="1">
        <v>269000</v>
      </c>
      <c r="H144" s="1">
        <f t="shared" si="6"/>
        <v>3.4715999999999997E-2</v>
      </c>
      <c r="I144">
        <v>789</v>
      </c>
      <c r="V144" t="s">
        <v>336</v>
      </c>
    </row>
    <row r="145" spans="1:22" x14ac:dyDescent="0.35">
      <c r="A145" t="s">
        <v>450</v>
      </c>
      <c r="B145" t="s">
        <v>445</v>
      </c>
      <c r="C145" t="s">
        <v>185</v>
      </c>
      <c r="D145" s="1">
        <v>36.4</v>
      </c>
      <c r="E145" s="1">
        <f t="shared" si="5"/>
        <v>4186000</v>
      </c>
      <c r="F145" s="1">
        <v>115000</v>
      </c>
      <c r="H145" s="1">
        <f t="shared" si="6"/>
        <v>3.4463519999999997E-2</v>
      </c>
      <c r="I145">
        <v>946.8</v>
      </c>
      <c r="V145" t="s">
        <v>336</v>
      </c>
    </row>
    <row r="146" spans="1:22" x14ac:dyDescent="0.35">
      <c r="A146" t="s">
        <v>451</v>
      </c>
      <c r="B146" t="s">
        <v>445</v>
      </c>
      <c r="C146" t="s">
        <v>185</v>
      </c>
      <c r="D146" s="1">
        <v>65.099999999999994</v>
      </c>
      <c r="E146" s="1">
        <f t="shared" si="5"/>
        <v>5227530</v>
      </c>
      <c r="F146" s="1">
        <v>80300</v>
      </c>
      <c r="H146" s="1">
        <f t="shared" si="6"/>
        <v>4.4378409599999995E-2</v>
      </c>
      <c r="I146">
        <v>681.69600000000003</v>
      </c>
      <c r="V146" t="s">
        <v>336</v>
      </c>
    </row>
    <row r="147" spans="1:22" x14ac:dyDescent="0.35">
      <c r="A147" t="s">
        <v>452</v>
      </c>
      <c r="C147" t="s">
        <v>165</v>
      </c>
      <c r="F147" s="1">
        <f>2.95*83257</f>
        <v>245608.15000000002</v>
      </c>
      <c r="V147" t="s">
        <v>453</v>
      </c>
    </row>
    <row r="148" spans="1:22" x14ac:dyDescent="0.35">
      <c r="A148" t="s">
        <v>454</v>
      </c>
      <c r="C148" t="s">
        <v>165</v>
      </c>
      <c r="F148" s="1">
        <f>1.99*83257</f>
        <v>165681.43</v>
      </c>
      <c r="V148" t="s">
        <v>453</v>
      </c>
    </row>
    <row r="149" spans="1:22" x14ac:dyDescent="0.35">
      <c r="A149" t="s">
        <v>456</v>
      </c>
      <c r="C149" t="s">
        <v>165</v>
      </c>
      <c r="F149" s="1">
        <f>2.67*83257</f>
        <v>222296.19</v>
      </c>
      <c r="V149" t="s">
        <v>453</v>
      </c>
    </row>
    <row r="150" spans="1:22" x14ac:dyDescent="0.35">
      <c r="A150" t="s">
        <v>501</v>
      </c>
      <c r="B150" t="s">
        <v>640</v>
      </c>
      <c r="E150" s="1">
        <v>1112000</v>
      </c>
      <c r="F150" s="53"/>
      <c r="I150">
        <v>4000</v>
      </c>
    </row>
    <row r="151" spans="1:22" x14ac:dyDescent="0.35">
      <c r="A151" t="s">
        <v>505</v>
      </c>
      <c r="B151" t="s">
        <v>640</v>
      </c>
      <c r="D151" s="1">
        <v>25.2</v>
      </c>
      <c r="F151" s="53"/>
      <c r="I151">
        <v>3100</v>
      </c>
    </row>
    <row r="152" spans="1:22" x14ac:dyDescent="0.35">
      <c r="A152" t="s">
        <v>508</v>
      </c>
      <c r="B152" t="s">
        <v>640</v>
      </c>
      <c r="E152" s="1">
        <v>1170000</v>
      </c>
      <c r="F152" s="53"/>
      <c r="I152">
        <v>1700</v>
      </c>
    </row>
    <row r="153" spans="1:22" x14ac:dyDescent="0.35">
      <c r="A153" t="s">
        <v>511</v>
      </c>
      <c r="B153" t="s">
        <v>640</v>
      </c>
      <c r="D153" s="1">
        <v>9.6</v>
      </c>
      <c r="E153" s="1">
        <v>1386000</v>
      </c>
      <c r="F153" s="53">
        <f t="shared" ref="F151:F192" si="7">E153/D153</f>
        <v>144375</v>
      </c>
      <c r="I153">
        <v>6000</v>
      </c>
    </row>
    <row r="154" spans="1:22" x14ac:dyDescent="0.35">
      <c r="A154" t="s">
        <v>514</v>
      </c>
      <c r="B154" t="s">
        <v>640</v>
      </c>
      <c r="D154" s="1">
        <v>6.88</v>
      </c>
      <c r="E154" s="1">
        <v>732000</v>
      </c>
      <c r="F154" s="53">
        <f t="shared" si="7"/>
        <v>106395.3488372093</v>
      </c>
      <c r="I154">
        <v>1910</v>
      </c>
    </row>
    <row r="155" spans="1:22" x14ac:dyDescent="0.35">
      <c r="A155" t="s">
        <v>517</v>
      </c>
      <c r="B155" t="s">
        <v>640</v>
      </c>
      <c r="D155" s="1">
        <v>19.32</v>
      </c>
      <c r="E155" s="1">
        <v>1768000</v>
      </c>
      <c r="F155" s="53">
        <f t="shared" si="7"/>
        <v>91511.38716356107</v>
      </c>
      <c r="I155">
        <v>4800</v>
      </c>
    </row>
    <row r="156" spans="1:22" x14ac:dyDescent="0.35">
      <c r="A156" t="s">
        <v>520</v>
      </c>
      <c r="B156" t="s">
        <v>640</v>
      </c>
      <c r="D156" s="1">
        <v>11.94</v>
      </c>
      <c r="E156" s="1">
        <v>1156000</v>
      </c>
      <c r="F156" s="53">
        <f t="shared" si="7"/>
        <v>96817.420435510896</v>
      </c>
      <c r="I156">
        <v>1575</v>
      </c>
    </row>
    <row r="157" spans="1:22" x14ac:dyDescent="0.35">
      <c r="A157" t="s">
        <v>523</v>
      </c>
      <c r="B157" t="s">
        <v>640</v>
      </c>
      <c r="D157" s="1">
        <v>8.2799999999999994</v>
      </c>
      <c r="E157" s="1">
        <v>1410000</v>
      </c>
      <c r="F157" s="53">
        <f t="shared" si="7"/>
        <v>170289.85507246378</v>
      </c>
      <c r="I157">
        <v>1860</v>
      </c>
    </row>
    <row r="158" spans="1:22" x14ac:dyDescent="0.35">
      <c r="A158" t="s">
        <v>526</v>
      </c>
      <c r="B158" t="s">
        <v>640</v>
      </c>
      <c r="E158" s="1">
        <v>14000</v>
      </c>
      <c r="F158" s="53"/>
      <c r="I158">
        <v>2000</v>
      </c>
    </row>
    <row r="159" spans="1:22" x14ac:dyDescent="0.35">
      <c r="A159" t="s">
        <v>529</v>
      </c>
      <c r="B159" t="s">
        <v>640</v>
      </c>
      <c r="E159" s="1">
        <v>1677000</v>
      </c>
      <c r="F159" s="53"/>
      <c r="I159">
        <v>1600</v>
      </c>
    </row>
    <row r="160" spans="1:22" x14ac:dyDescent="0.35">
      <c r="A160" t="s">
        <v>532</v>
      </c>
      <c r="B160" t="s">
        <v>640</v>
      </c>
      <c r="E160" s="1">
        <v>603000</v>
      </c>
      <c r="F160" s="53"/>
      <c r="I160">
        <v>1500</v>
      </c>
    </row>
    <row r="161" spans="1:9" x14ac:dyDescent="0.35">
      <c r="A161" t="s">
        <v>535</v>
      </c>
      <c r="B161" t="s">
        <v>640</v>
      </c>
      <c r="E161" s="1">
        <v>333000</v>
      </c>
      <c r="F161" s="53"/>
      <c r="I161">
        <v>1100</v>
      </c>
    </row>
    <row r="162" spans="1:9" x14ac:dyDescent="0.35">
      <c r="A162" t="s">
        <v>538</v>
      </c>
      <c r="B162" t="s">
        <v>640</v>
      </c>
      <c r="D162" s="1">
        <v>2.4</v>
      </c>
      <c r="E162" s="1">
        <v>329000</v>
      </c>
      <c r="F162" s="53">
        <f t="shared" si="7"/>
        <v>137083.33333333334</v>
      </c>
      <c r="I162">
        <v>1000</v>
      </c>
    </row>
    <row r="163" spans="1:9" x14ac:dyDescent="0.35">
      <c r="A163" t="s">
        <v>541</v>
      </c>
      <c r="B163" t="s">
        <v>640</v>
      </c>
      <c r="E163" s="1">
        <v>719000</v>
      </c>
      <c r="F163" s="53"/>
      <c r="I163">
        <v>1200</v>
      </c>
    </row>
    <row r="164" spans="1:9" x14ac:dyDescent="0.35">
      <c r="A164" t="s">
        <v>544</v>
      </c>
      <c r="B164" t="s">
        <v>640</v>
      </c>
      <c r="D164" s="1">
        <v>4.7300000000000004</v>
      </c>
      <c r="E164" s="1">
        <v>544000</v>
      </c>
      <c r="F164" s="53">
        <f t="shared" si="7"/>
        <v>115010.5708245243</v>
      </c>
      <c r="I164">
        <v>1040</v>
      </c>
    </row>
    <row r="165" spans="1:9" x14ac:dyDescent="0.35">
      <c r="A165" t="s">
        <v>547</v>
      </c>
      <c r="B165" t="s">
        <v>640</v>
      </c>
      <c r="E165" s="1">
        <v>393000</v>
      </c>
      <c r="F165" s="53"/>
      <c r="I165">
        <v>900</v>
      </c>
    </row>
    <row r="166" spans="1:9" x14ac:dyDescent="0.35">
      <c r="A166" t="s">
        <v>550</v>
      </c>
      <c r="B166" t="s">
        <v>640</v>
      </c>
      <c r="D166" s="1">
        <v>5.17</v>
      </c>
      <c r="E166" s="1">
        <v>362000</v>
      </c>
      <c r="F166" s="53">
        <f t="shared" si="7"/>
        <v>70019.342359767892</v>
      </c>
      <c r="I166">
        <v>850</v>
      </c>
    </row>
    <row r="167" spans="1:9" x14ac:dyDescent="0.35">
      <c r="A167" t="s">
        <v>553</v>
      </c>
      <c r="B167" t="s">
        <v>640</v>
      </c>
      <c r="D167" s="1">
        <v>19.329999999999998</v>
      </c>
      <c r="E167" s="1">
        <v>1977000</v>
      </c>
      <c r="F167" s="53">
        <f t="shared" si="7"/>
        <v>102276.25452664253</v>
      </c>
      <c r="I167">
        <v>4933</v>
      </c>
    </row>
    <row r="168" spans="1:9" x14ac:dyDescent="0.35">
      <c r="A168" t="s">
        <v>556</v>
      </c>
      <c r="B168" t="s">
        <v>640</v>
      </c>
      <c r="D168" s="1">
        <v>16.559999999999999</v>
      </c>
      <c r="E168" s="1">
        <v>2129000</v>
      </c>
      <c r="F168" s="53">
        <f t="shared" si="7"/>
        <v>128562.80193236716</v>
      </c>
      <c r="I168">
        <v>5200</v>
      </c>
    </row>
    <row r="169" spans="1:9" x14ac:dyDescent="0.35">
      <c r="A169" t="s">
        <v>559</v>
      </c>
      <c r="B169" t="s">
        <v>640</v>
      </c>
      <c r="E169" s="1">
        <v>2215000</v>
      </c>
      <c r="F169" s="53"/>
      <c r="I169">
        <v>4900</v>
      </c>
    </row>
    <row r="170" spans="1:9" x14ac:dyDescent="0.35">
      <c r="A170" t="s">
        <v>560</v>
      </c>
      <c r="B170" t="s">
        <v>640</v>
      </c>
      <c r="D170" s="1">
        <v>9.33</v>
      </c>
      <c r="E170" s="1">
        <v>1272000</v>
      </c>
      <c r="F170" s="53">
        <f t="shared" si="7"/>
        <v>136334.40514469452</v>
      </c>
      <c r="I170">
        <v>4000</v>
      </c>
    </row>
    <row r="171" spans="1:9" x14ac:dyDescent="0.35">
      <c r="A171" t="s">
        <v>641</v>
      </c>
      <c r="B171" t="s">
        <v>640</v>
      </c>
      <c r="D171" s="1">
        <v>7.55</v>
      </c>
      <c r="E171" s="1">
        <v>1251000</v>
      </c>
      <c r="F171" s="53">
        <f t="shared" si="7"/>
        <v>165695.36423841061</v>
      </c>
      <c r="I171">
        <v>4500</v>
      </c>
    </row>
    <row r="172" spans="1:9" x14ac:dyDescent="0.35">
      <c r="A172" t="s">
        <v>643</v>
      </c>
      <c r="B172" t="s">
        <v>640</v>
      </c>
      <c r="E172" s="1">
        <v>1298000</v>
      </c>
      <c r="F172" s="53"/>
      <c r="I172">
        <v>2825</v>
      </c>
    </row>
    <row r="173" spans="1:9" x14ac:dyDescent="0.35">
      <c r="A173" t="s">
        <v>645</v>
      </c>
      <c r="B173" t="s">
        <v>640</v>
      </c>
      <c r="D173" s="1">
        <v>8.3699999999999992</v>
      </c>
      <c r="E173" s="1">
        <v>1408000</v>
      </c>
      <c r="F173" s="53">
        <f t="shared" si="7"/>
        <v>168219.8327359618</v>
      </c>
      <c r="I173">
        <v>3750</v>
      </c>
    </row>
    <row r="174" spans="1:9" x14ac:dyDescent="0.35">
      <c r="A174" t="s">
        <v>647</v>
      </c>
      <c r="B174" t="s">
        <v>640</v>
      </c>
      <c r="D174" s="1">
        <v>11</v>
      </c>
      <c r="E174" s="1">
        <v>1078000</v>
      </c>
      <c r="F174" s="53">
        <f t="shared" si="7"/>
        <v>98000</v>
      </c>
      <c r="I174">
        <v>3000</v>
      </c>
    </row>
    <row r="175" spans="1:9" x14ac:dyDescent="0.35">
      <c r="A175" t="s">
        <v>649</v>
      </c>
      <c r="B175" t="s">
        <v>640</v>
      </c>
      <c r="E175" s="1">
        <v>978000</v>
      </c>
      <c r="F175" s="53"/>
      <c r="I175">
        <v>2950</v>
      </c>
    </row>
    <row r="176" spans="1:9" x14ac:dyDescent="0.35">
      <c r="A176" t="s">
        <v>651</v>
      </c>
      <c r="B176" t="s">
        <v>640</v>
      </c>
      <c r="E176" s="1">
        <v>613000</v>
      </c>
      <c r="F176" s="53"/>
      <c r="I176">
        <v>1600</v>
      </c>
    </row>
    <row r="177" spans="1:9" x14ac:dyDescent="0.35">
      <c r="A177" t="s">
        <v>653</v>
      </c>
      <c r="B177" t="s">
        <v>640</v>
      </c>
      <c r="D177" s="1">
        <v>6.26</v>
      </c>
      <c r="E177" s="1">
        <v>590000</v>
      </c>
      <c r="F177" s="53">
        <f t="shared" si="7"/>
        <v>94249.201277955275</v>
      </c>
      <c r="I177">
        <v>1850</v>
      </c>
    </row>
    <row r="178" spans="1:9" x14ac:dyDescent="0.35">
      <c r="A178" t="s">
        <v>573</v>
      </c>
      <c r="B178" t="s">
        <v>572</v>
      </c>
      <c r="E178" s="1">
        <v>1770000</v>
      </c>
      <c r="F178" s="53"/>
      <c r="I178">
        <v>1500</v>
      </c>
    </row>
    <row r="179" spans="1:9" x14ac:dyDescent="0.35">
      <c r="A179" t="s">
        <v>576</v>
      </c>
      <c r="B179" t="s">
        <v>572</v>
      </c>
      <c r="E179" s="1">
        <v>1262000</v>
      </c>
      <c r="F179" s="53"/>
      <c r="I179">
        <v>1500</v>
      </c>
    </row>
    <row r="180" spans="1:9" x14ac:dyDescent="0.35">
      <c r="A180" t="s">
        <v>579</v>
      </c>
      <c r="B180" t="s">
        <v>572</v>
      </c>
      <c r="E180" s="1">
        <v>1410000</v>
      </c>
      <c r="F180" s="53"/>
      <c r="I180">
        <v>2000</v>
      </c>
    </row>
    <row r="181" spans="1:9" x14ac:dyDescent="0.35">
      <c r="A181" t="s">
        <v>582</v>
      </c>
      <c r="B181" t="s">
        <v>572</v>
      </c>
      <c r="E181" s="1">
        <v>3642000</v>
      </c>
      <c r="F181" s="53"/>
      <c r="I181">
        <v>4300</v>
      </c>
    </row>
    <row r="182" spans="1:9" x14ac:dyDescent="0.35">
      <c r="A182" t="s">
        <v>585</v>
      </c>
      <c r="B182" t="s">
        <v>572</v>
      </c>
      <c r="F182" s="53"/>
    </row>
    <row r="183" spans="1:9" x14ac:dyDescent="0.35">
      <c r="A183" t="s">
        <v>588</v>
      </c>
      <c r="B183" t="s">
        <v>572</v>
      </c>
      <c r="E183" s="1">
        <v>1398000</v>
      </c>
      <c r="F183" s="53"/>
      <c r="I183">
        <v>2000</v>
      </c>
    </row>
    <row r="184" spans="1:9" x14ac:dyDescent="0.35">
      <c r="A184" t="s">
        <v>589</v>
      </c>
      <c r="B184" t="s">
        <v>572</v>
      </c>
      <c r="E184" s="1">
        <v>1243000</v>
      </c>
      <c r="F184" s="53"/>
      <c r="I184">
        <v>1500</v>
      </c>
    </row>
    <row r="185" spans="1:9" x14ac:dyDescent="0.35">
      <c r="A185" t="s">
        <v>592</v>
      </c>
      <c r="B185" t="s">
        <v>572</v>
      </c>
      <c r="E185" s="1">
        <v>1553000</v>
      </c>
      <c r="F185" s="53"/>
      <c r="I185">
        <v>1500</v>
      </c>
    </row>
    <row r="186" spans="1:9" x14ac:dyDescent="0.35">
      <c r="A186" t="s">
        <v>595</v>
      </c>
      <c r="B186" t="s">
        <v>572</v>
      </c>
      <c r="E186" s="1">
        <v>1252000</v>
      </c>
      <c r="F186" s="53"/>
      <c r="I186">
        <v>1500</v>
      </c>
    </row>
    <row r="187" spans="1:9" x14ac:dyDescent="0.35">
      <c r="A187" t="s">
        <v>598</v>
      </c>
      <c r="B187" t="s">
        <v>572</v>
      </c>
      <c r="E187" s="1">
        <v>1957000</v>
      </c>
      <c r="F187" s="53"/>
      <c r="I187">
        <v>4300</v>
      </c>
    </row>
    <row r="188" spans="1:9" x14ac:dyDescent="0.35">
      <c r="A188" t="s">
        <v>601</v>
      </c>
      <c r="B188" t="s">
        <v>572</v>
      </c>
      <c r="E188" s="1">
        <v>6218000</v>
      </c>
      <c r="F188" s="53"/>
      <c r="I188">
        <v>1500</v>
      </c>
    </row>
    <row r="189" spans="1:9" x14ac:dyDescent="0.35">
      <c r="A189" t="s">
        <v>604</v>
      </c>
      <c r="B189" t="s">
        <v>572</v>
      </c>
      <c r="E189" s="1">
        <v>2350000</v>
      </c>
      <c r="F189" s="53"/>
      <c r="I189">
        <v>2500</v>
      </c>
    </row>
    <row r="190" spans="1:9" x14ac:dyDescent="0.35">
      <c r="A190" t="s">
        <v>607</v>
      </c>
      <c r="B190" t="s">
        <v>572</v>
      </c>
      <c r="E190" s="1">
        <v>1978000</v>
      </c>
      <c r="F190" s="53"/>
      <c r="I190">
        <v>2500</v>
      </c>
    </row>
    <row r="191" spans="1:9" x14ac:dyDescent="0.35">
      <c r="A191" t="s">
        <v>610</v>
      </c>
      <c r="B191" t="s">
        <v>572</v>
      </c>
      <c r="E191" s="1">
        <v>978000</v>
      </c>
      <c r="F191" s="53"/>
      <c r="I191">
        <v>2800</v>
      </c>
    </row>
    <row r="192" spans="1:9" x14ac:dyDescent="0.35">
      <c r="A192" t="s">
        <v>613</v>
      </c>
      <c r="B192" t="s">
        <v>572</v>
      </c>
      <c r="E192" s="1">
        <v>954000</v>
      </c>
      <c r="F192" s="53"/>
      <c r="I192">
        <v>2600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7E80-0ACF-41AF-8162-D57ABC9C3E1D}">
  <dimension ref="A11:AW134"/>
  <sheetViews>
    <sheetView topLeftCell="N85" workbookViewId="0">
      <selection activeCell="AW87" sqref="AW87:AW129"/>
    </sheetView>
  </sheetViews>
  <sheetFormatPr defaultRowHeight="14.5" x14ac:dyDescent="0.35"/>
  <cols>
    <col min="22" max="22" width="21.90625" bestFit="1" customWidth="1"/>
    <col min="25" max="25" width="11.81640625" bestFit="1" customWidth="1"/>
  </cols>
  <sheetData>
    <row r="11" spans="1:28" x14ac:dyDescent="0.35">
      <c r="A11" t="s">
        <v>330</v>
      </c>
      <c r="V11" t="s">
        <v>88</v>
      </c>
    </row>
    <row r="12" spans="1:28" ht="43.5" x14ac:dyDescent="0.35">
      <c r="A12" s="15" t="s">
        <v>187</v>
      </c>
      <c r="B12" s="13" t="s">
        <v>188</v>
      </c>
      <c r="C12" s="13" t="s">
        <v>188</v>
      </c>
      <c r="D12" s="13" t="s">
        <v>189</v>
      </c>
      <c r="E12" s="13" t="s">
        <v>190</v>
      </c>
      <c r="F12" s="13" t="s">
        <v>191</v>
      </c>
      <c r="G12" s="13" t="s">
        <v>192</v>
      </c>
      <c r="H12" s="13" t="s">
        <v>188</v>
      </c>
      <c r="I12" s="13" t="s">
        <v>193</v>
      </c>
      <c r="J12" s="13" t="s">
        <v>194</v>
      </c>
      <c r="K12" s="13" t="s">
        <v>194</v>
      </c>
      <c r="L12" s="13" t="s">
        <v>195</v>
      </c>
      <c r="M12" s="13" t="s">
        <v>195</v>
      </c>
      <c r="N12" s="13" t="s">
        <v>196</v>
      </c>
      <c r="O12" s="13" t="s">
        <v>196</v>
      </c>
      <c r="P12" s="13" t="s">
        <v>196</v>
      </c>
      <c r="Q12" s="13" t="s">
        <v>196</v>
      </c>
      <c r="R12" s="13" t="s">
        <v>195</v>
      </c>
      <c r="S12" s="16" t="s">
        <v>197</v>
      </c>
      <c r="V12" s="49" t="s">
        <v>459</v>
      </c>
      <c r="W12" s="51" t="s">
        <v>460</v>
      </c>
      <c r="X12" s="51" t="s">
        <v>461</v>
      </c>
      <c r="Y12" s="51" t="s">
        <v>462</v>
      </c>
      <c r="Z12" s="51" t="s">
        <v>463</v>
      </c>
      <c r="AA12" s="51" t="s">
        <v>464</v>
      </c>
      <c r="AB12" s="51" t="s">
        <v>465</v>
      </c>
    </row>
    <row r="13" spans="1:28" ht="29" x14ac:dyDescent="0.35">
      <c r="A13" s="17" t="s">
        <v>198</v>
      </c>
      <c r="B13" s="14">
        <v>18.133199999999999</v>
      </c>
      <c r="C13" s="14" t="s">
        <v>199</v>
      </c>
      <c r="D13" s="14">
        <v>208</v>
      </c>
      <c r="E13" s="14">
        <v>23.7</v>
      </c>
      <c r="F13" s="14">
        <v>106</v>
      </c>
      <c r="G13" s="14">
        <v>12.8</v>
      </c>
      <c r="H13" s="14">
        <v>31</v>
      </c>
      <c r="I13" s="14">
        <v>517</v>
      </c>
      <c r="J13" s="14" t="s">
        <v>200</v>
      </c>
      <c r="K13" s="14" t="s">
        <v>201</v>
      </c>
      <c r="L13" s="14" t="s">
        <v>202</v>
      </c>
      <c r="M13" s="14" t="s">
        <v>203</v>
      </c>
      <c r="N13" s="14" t="s">
        <v>204</v>
      </c>
      <c r="O13" s="14" t="s">
        <v>205</v>
      </c>
      <c r="P13" s="14" t="s">
        <v>206</v>
      </c>
      <c r="Q13" s="14" t="s">
        <v>207</v>
      </c>
      <c r="R13" s="14" t="s">
        <v>208</v>
      </c>
      <c r="S13" s="18" t="s">
        <v>209</v>
      </c>
      <c r="V13" s="52" t="s">
        <v>466</v>
      </c>
      <c r="W13" s="50">
        <v>21</v>
      </c>
      <c r="X13" s="50">
        <v>1.3</v>
      </c>
      <c r="Y13" s="50">
        <v>0.7</v>
      </c>
      <c r="Z13" s="50">
        <v>1.1000000000000001</v>
      </c>
      <c r="AA13" s="50">
        <v>52.4</v>
      </c>
      <c r="AB13" s="50">
        <v>1652</v>
      </c>
    </row>
    <row r="14" spans="1:28" ht="29" x14ac:dyDescent="0.35">
      <c r="A14" s="19" t="s">
        <v>210</v>
      </c>
      <c r="B14" s="14">
        <v>18.063600000000001</v>
      </c>
      <c r="C14" s="14" t="s">
        <v>211</v>
      </c>
      <c r="D14" s="14">
        <v>127</v>
      </c>
      <c r="E14" s="14">
        <v>24.6</v>
      </c>
      <c r="F14" s="14">
        <v>20</v>
      </c>
      <c r="G14" s="14">
        <v>4.8</v>
      </c>
      <c r="H14" s="14">
        <v>21</v>
      </c>
      <c r="I14" s="14">
        <v>189</v>
      </c>
      <c r="J14" s="14" t="s">
        <v>212</v>
      </c>
      <c r="K14" s="14" t="s">
        <v>213</v>
      </c>
      <c r="L14" s="14" t="s">
        <v>214</v>
      </c>
      <c r="M14" s="14" t="s">
        <v>215</v>
      </c>
      <c r="N14" s="14" t="s">
        <v>216</v>
      </c>
      <c r="O14" s="14" t="s">
        <v>217</v>
      </c>
      <c r="P14" s="14" t="s">
        <v>218</v>
      </c>
      <c r="Q14" s="14" t="s">
        <v>219</v>
      </c>
      <c r="R14" s="14" t="s">
        <v>220</v>
      </c>
      <c r="S14" s="18" t="s">
        <v>221</v>
      </c>
      <c r="V14" s="52" t="s">
        <v>89</v>
      </c>
      <c r="W14" s="50">
        <v>31</v>
      </c>
      <c r="X14" s="50">
        <v>3.4</v>
      </c>
      <c r="Y14" s="50">
        <v>1.9</v>
      </c>
      <c r="Z14" s="50">
        <v>2.9</v>
      </c>
      <c r="AA14" s="50">
        <v>93.5</v>
      </c>
      <c r="AB14" s="50">
        <v>2950</v>
      </c>
    </row>
    <row r="15" spans="1:28" ht="29" x14ac:dyDescent="0.35">
      <c r="A15" s="19" t="s">
        <v>222</v>
      </c>
      <c r="B15" s="14">
        <v>18.056999999999999</v>
      </c>
      <c r="C15" s="14" t="s">
        <v>223</v>
      </c>
      <c r="D15" s="14">
        <v>125</v>
      </c>
      <c r="E15" s="14">
        <v>24.6</v>
      </c>
      <c r="F15" s="14">
        <v>19</v>
      </c>
      <c r="G15" s="14">
        <v>0.3</v>
      </c>
      <c r="H15" s="14">
        <v>21</v>
      </c>
      <c r="I15" s="14">
        <v>174</v>
      </c>
      <c r="J15" s="14" t="s">
        <v>224</v>
      </c>
      <c r="K15" s="14" t="s">
        <v>225</v>
      </c>
      <c r="L15" s="14" t="s">
        <v>226</v>
      </c>
      <c r="M15" s="14" t="s">
        <v>227</v>
      </c>
      <c r="N15" s="14" t="s">
        <v>228</v>
      </c>
      <c r="O15" s="14" t="s">
        <v>229</v>
      </c>
      <c r="P15" s="14" t="s">
        <v>230</v>
      </c>
      <c r="Q15" s="14" t="s">
        <v>231</v>
      </c>
      <c r="R15" s="14" t="s">
        <v>232</v>
      </c>
      <c r="S15" s="18" t="s">
        <v>233</v>
      </c>
      <c r="V15" s="52" t="s">
        <v>90</v>
      </c>
      <c r="W15" s="50">
        <v>3</v>
      </c>
      <c r="X15" s="50">
        <v>0.19</v>
      </c>
      <c r="Y15" s="50">
        <v>7.0000000000000007E-2</v>
      </c>
      <c r="Z15" s="50">
        <v>0.15</v>
      </c>
      <c r="AA15" s="50">
        <v>50</v>
      </c>
      <c r="AB15" s="50">
        <v>1577</v>
      </c>
    </row>
    <row r="16" spans="1:28" ht="29" x14ac:dyDescent="0.35">
      <c r="A16" s="17" t="s">
        <v>234</v>
      </c>
      <c r="B16" s="14">
        <v>18.1129</v>
      </c>
      <c r="C16" s="14" t="s">
        <v>235</v>
      </c>
      <c r="D16" s="14">
        <v>165</v>
      </c>
      <c r="E16" s="14">
        <v>24.4</v>
      </c>
      <c r="F16" s="14">
        <v>48</v>
      </c>
      <c r="G16" s="14">
        <v>3.2</v>
      </c>
      <c r="H16" s="14">
        <v>26</v>
      </c>
      <c r="I16" s="14">
        <v>368</v>
      </c>
      <c r="J16" s="14" t="s">
        <v>236</v>
      </c>
      <c r="K16" s="14" t="s">
        <v>237</v>
      </c>
      <c r="L16" s="14" t="s">
        <v>238</v>
      </c>
      <c r="M16" s="14" t="s">
        <v>239</v>
      </c>
      <c r="N16" s="14" t="s">
        <v>240</v>
      </c>
      <c r="O16" s="14" t="s">
        <v>241</v>
      </c>
      <c r="P16" s="14" t="s">
        <v>242</v>
      </c>
      <c r="Q16" s="14" t="s">
        <v>243</v>
      </c>
      <c r="R16" s="14" t="s">
        <v>244</v>
      </c>
      <c r="S16" s="18" t="s">
        <v>245</v>
      </c>
      <c r="V16" s="52" t="s">
        <v>91</v>
      </c>
      <c r="W16" s="50">
        <v>0.8</v>
      </c>
      <c r="X16" s="50">
        <v>0.02</v>
      </c>
      <c r="Y16" s="50">
        <v>3.0000000000000001E-3</v>
      </c>
      <c r="Z16" s="50">
        <v>1.43E-2</v>
      </c>
      <c r="AA16" s="50">
        <v>17.899999999999999</v>
      </c>
      <c r="AB16" s="50">
        <v>565</v>
      </c>
    </row>
    <row r="17" spans="1:29" ht="20" x14ac:dyDescent="0.35">
      <c r="A17" s="17" t="s">
        <v>246</v>
      </c>
      <c r="B17" s="14">
        <v>18.1174</v>
      </c>
      <c r="C17" s="14" t="s">
        <v>247</v>
      </c>
      <c r="D17" s="14">
        <v>169</v>
      </c>
      <c r="E17" s="14">
        <v>24.3</v>
      </c>
      <c r="F17" s="14">
        <v>53</v>
      </c>
      <c r="G17" s="14">
        <v>2.2000000000000002</v>
      </c>
      <c r="H17" s="14">
        <v>27</v>
      </c>
      <c r="I17" s="14">
        <v>400</v>
      </c>
      <c r="J17" s="14" t="s">
        <v>248</v>
      </c>
      <c r="K17" s="14" t="s">
        <v>249</v>
      </c>
      <c r="L17" s="14" t="s">
        <v>250</v>
      </c>
      <c r="M17" s="14" t="s">
        <v>251</v>
      </c>
      <c r="N17" s="14" t="s">
        <v>252</v>
      </c>
      <c r="O17" s="14" t="s">
        <v>253</v>
      </c>
      <c r="P17" s="14" t="s">
        <v>254</v>
      </c>
      <c r="Q17" s="14" t="s">
        <v>255</v>
      </c>
      <c r="R17" s="14" t="s">
        <v>256</v>
      </c>
      <c r="S17" s="18" t="s">
        <v>257</v>
      </c>
      <c r="V17" s="52" t="s">
        <v>92</v>
      </c>
      <c r="W17" s="50">
        <v>70</v>
      </c>
      <c r="X17" s="50">
        <v>8.2100000000000009</v>
      </c>
      <c r="Y17" s="50">
        <v>0.3</v>
      </c>
      <c r="Z17" s="50">
        <v>5.57</v>
      </c>
      <c r="AA17" s="50">
        <v>79.599999999999994</v>
      </c>
      <c r="AB17" s="50">
        <v>2511</v>
      </c>
    </row>
    <row r="18" spans="1:29" ht="43.5" x14ac:dyDescent="0.35">
      <c r="A18" s="17" t="s">
        <v>258</v>
      </c>
      <c r="B18" s="14">
        <v>18.126899999999999</v>
      </c>
      <c r="C18" s="14" t="s">
        <v>259</v>
      </c>
      <c r="D18" s="14">
        <v>193</v>
      </c>
      <c r="E18" s="14">
        <v>24.1</v>
      </c>
      <c r="F18" s="14">
        <v>82</v>
      </c>
      <c r="G18" s="14">
        <v>6.7</v>
      </c>
      <c r="H18" s="14">
        <v>29</v>
      </c>
      <c r="I18" s="14">
        <v>464</v>
      </c>
      <c r="J18" s="14" t="s">
        <v>260</v>
      </c>
      <c r="K18" s="14" t="s">
        <v>261</v>
      </c>
      <c r="L18" s="14" t="s">
        <v>262</v>
      </c>
      <c r="M18" s="14" t="s">
        <v>263</v>
      </c>
      <c r="N18" s="14" t="s">
        <v>264</v>
      </c>
      <c r="O18" s="14" t="s">
        <v>265</v>
      </c>
      <c r="P18" s="14" t="s">
        <v>266</v>
      </c>
      <c r="Q18" s="14" t="s">
        <v>267</v>
      </c>
      <c r="R18" s="14" t="s">
        <v>268</v>
      </c>
      <c r="S18" s="18" t="s">
        <v>269</v>
      </c>
      <c r="V18" s="52" t="s">
        <v>467</v>
      </c>
      <c r="W18" s="50">
        <v>3.4</v>
      </c>
      <c r="X18" s="50">
        <v>0.03</v>
      </c>
      <c r="Y18" s="50">
        <v>2.0000000000000001E-4</v>
      </c>
      <c r="Z18" s="50">
        <v>2.01E-2</v>
      </c>
      <c r="AA18" s="50">
        <v>5.9</v>
      </c>
      <c r="AB18" s="50">
        <v>186</v>
      </c>
    </row>
    <row r="19" spans="1:29" ht="29" x14ac:dyDescent="0.35">
      <c r="A19" s="17" t="s">
        <v>270</v>
      </c>
      <c r="B19" s="14">
        <v>18.127700000000001</v>
      </c>
      <c r="C19" s="14" t="s">
        <v>271</v>
      </c>
      <c r="D19" s="14">
        <v>190</v>
      </c>
      <c r="E19" s="14">
        <v>24.2</v>
      </c>
      <c r="F19" s="14">
        <v>78</v>
      </c>
      <c r="G19" s="14">
        <v>4.5</v>
      </c>
      <c r="H19" s="14">
        <v>29</v>
      </c>
      <c r="I19" s="14">
        <v>460</v>
      </c>
      <c r="J19" s="14" t="s">
        <v>272</v>
      </c>
      <c r="K19" s="14" t="s">
        <v>273</v>
      </c>
      <c r="L19" s="14" t="s">
        <v>274</v>
      </c>
      <c r="M19" s="14" t="s">
        <v>275</v>
      </c>
      <c r="N19" s="14" t="s">
        <v>276</v>
      </c>
      <c r="O19" s="14" t="s">
        <v>277</v>
      </c>
      <c r="P19" s="14" t="s">
        <v>278</v>
      </c>
      <c r="Q19" s="14" t="s">
        <v>279</v>
      </c>
      <c r="R19" s="14" t="s">
        <v>280</v>
      </c>
      <c r="S19" s="18" t="s">
        <v>281</v>
      </c>
      <c r="V19" s="52" t="s">
        <v>94</v>
      </c>
      <c r="W19" s="50">
        <v>12</v>
      </c>
      <c r="X19" s="50">
        <v>0.41</v>
      </c>
      <c r="Y19" s="50">
        <v>0.19</v>
      </c>
      <c r="Z19" s="50">
        <v>0.33700000000000002</v>
      </c>
      <c r="AA19" s="50">
        <v>28.1</v>
      </c>
      <c r="AB19" s="50">
        <v>885</v>
      </c>
    </row>
    <row r="20" spans="1:29" ht="20" x14ac:dyDescent="0.35">
      <c r="A20" s="17" t="s">
        <v>282</v>
      </c>
      <c r="B20" s="14">
        <v>18.1417</v>
      </c>
      <c r="C20" s="14" t="s">
        <v>283</v>
      </c>
      <c r="D20" s="14">
        <v>221</v>
      </c>
      <c r="E20" s="14">
        <v>23.7</v>
      </c>
      <c r="F20" s="14">
        <v>128</v>
      </c>
      <c r="G20" s="14">
        <v>1.6</v>
      </c>
      <c r="H20" s="14">
        <v>29</v>
      </c>
      <c r="I20" s="14">
        <v>546</v>
      </c>
      <c r="J20" s="14" t="s">
        <v>284</v>
      </c>
      <c r="K20" s="14" t="s">
        <v>285</v>
      </c>
      <c r="L20" s="14" t="s">
        <v>286</v>
      </c>
      <c r="M20" s="14" t="s">
        <v>287</v>
      </c>
      <c r="N20" s="14" t="s">
        <v>288</v>
      </c>
      <c r="O20" s="14" t="s">
        <v>289</v>
      </c>
      <c r="P20" s="14" t="s">
        <v>290</v>
      </c>
      <c r="Q20" s="14" t="s">
        <v>291</v>
      </c>
      <c r="R20" s="14" t="s">
        <v>292</v>
      </c>
      <c r="S20" s="18" t="s">
        <v>293</v>
      </c>
      <c r="V20" s="52" t="s">
        <v>95</v>
      </c>
      <c r="W20" s="50">
        <v>6.5</v>
      </c>
      <c r="X20" s="50">
        <v>0.42</v>
      </c>
      <c r="Y20" s="50">
        <v>0.25</v>
      </c>
      <c r="Z20" s="50">
        <v>0.36299999999999999</v>
      </c>
      <c r="AA20" s="50">
        <v>55.9</v>
      </c>
      <c r="AB20" s="50">
        <v>1763</v>
      </c>
    </row>
    <row r="21" spans="1:29" ht="29" x14ac:dyDescent="0.35">
      <c r="A21" s="17" t="s">
        <v>294</v>
      </c>
      <c r="B21" s="14">
        <v>18.155200000000001</v>
      </c>
      <c r="C21" s="14" t="s">
        <v>295</v>
      </c>
      <c r="D21" s="14">
        <v>219</v>
      </c>
      <c r="E21" s="14">
        <v>24.2</v>
      </c>
      <c r="F21" s="14">
        <v>125</v>
      </c>
      <c r="G21" s="14">
        <v>4.5</v>
      </c>
      <c r="H21" s="14">
        <v>26</v>
      </c>
      <c r="I21" s="14">
        <v>431</v>
      </c>
      <c r="J21" s="14" t="s">
        <v>296</v>
      </c>
      <c r="K21" s="14" t="s">
        <v>297</v>
      </c>
      <c r="L21" s="14" t="s">
        <v>298</v>
      </c>
      <c r="M21" s="14" t="s">
        <v>299</v>
      </c>
      <c r="N21" s="14" t="s">
        <v>300</v>
      </c>
      <c r="O21" s="14" t="s">
        <v>301</v>
      </c>
      <c r="P21" s="14" t="s">
        <v>302</v>
      </c>
      <c r="Q21" s="14" t="s">
        <v>303</v>
      </c>
      <c r="R21" s="14" t="s">
        <v>304</v>
      </c>
      <c r="S21" s="18" t="s">
        <v>305</v>
      </c>
      <c r="V21" s="52" t="s">
        <v>96</v>
      </c>
      <c r="W21" s="50">
        <v>18</v>
      </c>
      <c r="X21" s="50">
        <v>1.6</v>
      </c>
      <c r="Y21" s="50">
        <v>0.4</v>
      </c>
      <c r="Z21" s="50">
        <v>1.2</v>
      </c>
      <c r="AA21" s="50">
        <v>66.7</v>
      </c>
      <c r="AB21" s="50">
        <v>2102</v>
      </c>
    </row>
    <row r="22" spans="1:29" ht="29" x14ac:dyDescent="0.35">
      <c r="A22" s="17" t="s">
        <v>306</v>
      </c>
      <c r="B22" s="14">
        <v>18.1678</v>
      </c>
      <c r="C22" s="14" t="s">
        <v>307</v>
      </c>
      <c r="D22" s="14">
        <v>213</v>
      </c>
      <c r="E22" s="14">
        <v>24.4</v>
      </c>
      <c r="F22" s="14">
        <v>114</v>
      </c>
      <c r="G22" s="14">
        <v>3.4</v>
      </c>
      <c r="H22" s="14">
        <v>28</v>
      </c>
      <c r="I22" s="14">
        <v>302</v>
      </c>
      <c r="J22" s="14" t="s">
        <v>308</v>
      </c>
      <c r="K22" s="14" t="s">
        <v>309</v>
      </c>
      <c r="L22" s="14" t="s">
        <v>310</v>
      </c>
      <c r="M22" s="14" t="s">
        <v>311</v>
      </c>
      <c r="N22" s="14" t="s">
        <v>312</v>
      </c>
      <c r="O22" s="14" t="s">
        <v>313</v>
      </c>
      <c r="P22" s="14" t="s">
        <v>314</v>
      </c>
      <c r="Q22" s="14" t="s">
        <v>315</v>
      </c>
      <c r="R22" s="14" t="s">
        <v>316</v>
      </c>
      <c r="S22" s="18" t="s">
        <v>317</v>
      </c>
      <c r="V22" s="52" t="s">
        <v>97</v>
      </c>
      <c r="W22" s="50">
        <v>20</v>
      </c>
      <c r="X22" s="50">
        <v>3</v>
      </c>
      <c r="Y22" s="50" t="s">
        <v>468</v>
      </c>
      <c r="Z22" s="50">
        <v>2</v>
      </c>
      <c r="AA22" s="50">
        <v>100.2</v>
      </c>
      <c r="AB22" s="50">
        <v>3160</v>
      </c>
    </row>
    <row r="23" spans="1:29" ht="29.5" thickBot="1" x14ac:dyDescent="0.4">
      <c r="A23" s="20" t="s">
        <v>318</v>
      </c>
      <c r="B23" s="21">
        <v>18.165800000000001</v>
      </c>
      <c r="C23" s="21" t="s">
        <v>319</v>
      </c>
      <c r="D23" s="21">
        <v>240</v>
      </c>
      <c r="E23" s="21">
        <v>23.6</v>
      </c>
      <c r="F23" s="21">
        <v>169</v>
      </c>
      <c r="G23" s="21">
        <v>3</v>
      </c>
      <c r="H23" s="21">
        <v>31</v>
      </c>
      <c r="I23" s="21">
        <v>528</v>
      </c>
      <c r="J23" s="21" t="s">
        <v>320</v>
      </c>
      <c r="K23" s="21" t="s">
        <v>321</v>
      </c>
      <c r="L23" s="21" t="s">
        <v>322</v>
      </c>
      <c r="M23" s="21" t="s">
        <v>323</v>
      </c>
      <c r="N23" s="21" t="s">
        <v>324</v>
      </c>
      <c r="O23" s="21" t="s">
        <v>325</v>
      </c>
      <c r="P23" s="21" t="s">
        <v>326</v>
      </c>
      <c r="Q23" s="21" t="s">
        <v>327</v>
      </c>
      <c r="R23" s="21" t="s">
        <v>328</v>
      </c>
      <c r="S23" s="22" t="s">
        <v>329</v>
      </c>
      <c r="V23" s="52" t="s">
        <v>469</v>
      </c>
      <c r="W23" s="50">
        <v>25</v>
      </c>
      <c r="X23" s="50">
        <v>1.5</v>
      </c>
      <c r="Y23" s="50">
        <v>0.5</v>
      </c>
      <c r="Z23" s="50">
        <v>1.17</v>
      </c>
      <c r="AA23" s="50">
        <v>46.7</v>
      </c>
      <c r="AB23" s="50">
        <v>1472</v>
      </c>
    </row>
    <row r="24" spans="1:29" x14ac:dyDescent="0.35">
      <c r="G24">
        <f>SUM(G13:G23)</f>
        <v>47</v>
      </c>
    </row>
    <row r="26" spans="1:29" ht="20" x14ac:dyDescent="0.35">
      <c r="A26" s="14" t="s">
        <v>20</v>
      </c>
    </row>
    <row r="27" spans="1:29" ht="15" thickBot="1" x14ac:dyDescent="0.4">
      <c r="A27" s="3"/>
      <c r="B27" s="4" t="s">
        <v>171</v>
      </c>
      <c r="C27" s="5" t="s">
        <v>172</v>
      </c>
      <c r="D27" s="5" t="s">
        <v>172</v>
      </c>
      <c r="E27" s="4" t="s">
        <v>172</v>
      </c>
      <c r="F27" s="4" t="s">
        <v>457</v>
      </c>
      <c r="G27" s="4" t="s">
        <v>172</v>
      </c>
      <c r="H27" s="4" t="s">
        <v>172</v>
      </c>
      <c r="I27" s="4" t="s">
        <v>172</v>
      </c>
      <c r="J27" s="4" t="s">
        <v>172</v>
      </c>
      <c r="K27" s="3"/>
      <c r="L27" s="3"/>
      <c r="M27" s="4" t="s">
        <v>172</v>
      </c>
      <c r="V27" t="s">
        <v>470</v>
      </c>
    </row>
    <row r="28" spans="1:29" x14ac:dyDescent="0.35">
      <c r="A28" s="6" t="s">
        <v>53</v>
      </c>
      <c r="B28" s="7">
        <v>79.7</v>
      </c>
      <c r="C28" s="8">
        <v>13.2</v>
      </c>
      <c r="D28" s="8">
        <v>128</v>
      </c>
      <c r="E28" s="7">
        <v>320</v>
      </c>
      <c r="F28" s="7">
        <f>E28*(10^9)</f>
        <v>320000000000</v>
      </c>
      <c r="G28" s="7">
        <v>67.7</v>
      </c>
      <c r="H28" s="7">
        <v>644</v>
      </c>
      <c r="I28" s="7">
        <v>6</v>
      </c>
      <c r="J28" s="7">
        <v>0</v>
      </c>
      <c r="K28" s="7">
        <v>153</v>
      </c>
      <c r="L28" s="7">
        <v>25</v>
      </c>
      <c r="M28" s="7">
        <v>158</v>
      </c>
      <c r="V28" t="s">
        <v>459</v>
      </c>
      <c r="W28" t="s">
        <v>471</v>
      </c>
      <c r="Y28" t="s">
        <v>485</v>
      </c>
    </row>
    <row r="29" spans="1:29" x14ac:dyDescent="0.35">
      <c r="A29" s="6" t="s">
        <v>50</v>
      </c>
      <c r="B29" s="7">
        <v>9.5</v>
      </c>
      <c r="C29" s="8">
        <v>2.5</v>
      </c>
      <c r="D29" s="8">
        <v>29</v>
      </c>
      <c r="E29" s="7">
        <v>107</v>
      </c>
      <c r="F29" s="7">
        <f t="shared" ref="F29:F79" si="0">E29*(10^9)</f>
        <v>107000000000</v>
      </c>
      <c r="G29" s="8">
        <v>101</v>
      </c>
      <c r="H29" s="7">
        <v>997</v>
      </c>
      <c r="I29" s="7">
        <v>7</v>
      </c>
      <c r="J29" s="7">
        <v>0</v>
      </c>
      <c r="K29" s="7">
        <v>118</v>
      </c>
      <c r="L29" s="7">
        <v>65</v>
      </c>
      <c r="M29" s="7">
        <v>611</v>
      </c>
      <c r="V29" t="s">
        <v>472</v>
      </c>
      <c r="W29">
        <v>34</v>
      </c>
      <c r="Y29">
        <f>W29*0.031556952</f>
        <v>1.0729363679999999</v>
      </c>
      <c r="AA29" t="s">
        <v>99</v>
      </c>
      <c r="AC29">
        <v>1.0729363679999999</v>
      </c>
    </row>
    <row r="30" spans="1:29" x14ac:dyDescent="0.35">
      <c r="A30" s="6" t="s">
        <v>47</v>
      </c>
      <c r="B30" s="7">
        <v>11.4</v>
      </c>
      <c r="C30" s="8">
        <v>5.0999999999999996</v>
      </c>
      <c r="D30" s="8">
        <v>60</v>
      </c>
      <c r="E30" s="7">
        <v>199</v>
      </c>
      <c r="F30" s="7">
        <f t="shared" si="0"/>
        <v>199000000000</v>
      </c>
      <c r="G30" s="7">
        <v>48.1</v>
      </c>
      <c r="H30" s="7">
        <v>436</v>
      </c>
      <c r="I30" s="7">
        <v>13</v>
      </c>
      <c r="J30" s="7">
        <v>44</v>
      </c>
      <c r="K30" s="7">
        <v>72</v>
      </c>
      <c r="L30" s="7">
        <v>24</v>
      </c>
      <c r="M30" s="7">
        <v>228</v>
      </c>
      <c r="V30" t="s">
        <v>473</v>
      </c>
      <c r="W30">
        <v>19.100000000000001</v>
      </c>
      <c r="Y30">
        <f t="shared" ref="Y30:Y45" si="1">W30*0.031556952</f>
        <v>0.60273778320000004</v>
      </c>
      <c r="AA30" t="s">
        <v>101</v>
      </c>
      <c r="AC30">
        <v>0.60273778320000004</v>
      </c>
    </row>
    <row r="31" spans="1:29" x14ac:dyDescent="0.35">
      <c r="A31" s="6" t="s">
        <v>18</v>
      </c>
      <c r="B31" s="7">
        <v>29.5</v>
      </c>
      <c r="C31" s="8">
        <v>17.100000000000001</v>
      </c>
      <c r="D31" s="8">
        <v>165</v>
      </c>
      <c r="E31" s="7">
        <v>832</v>
      </c>
      <c r="F31" s="7">
        <f t="shared" si="0"/>
        <v>832000000000</v>
      </c>
      <c r="G31" s="7">
        <v>2.6</v>
      </c>
      <c r="H31" s="7">
        <v>24</v>
      </c>
      <c r="I31" s="7">
        <v>19</v>
      </c>
      <c r="J31" s="7">
        <v>67</v>
      </c>
      <c r="K31" s="7">
        <v>51</v>
      </c>
      <c r="L31" s="7">
        <v>125</v>
      </c>
      <c r="M31" s="7">
        <v>2250</v>
      </c>
      <c r="V31" t="s">
        <v>474</v>
      </c>
      <c r="W31">
        <v>1.5</v>
      </c>
      <c r="Y31">
        <f t="shared" si="1"/>
        <v>4.7335427999999999E-2</v>
      </c>
      <c r="AA31" t="s">
        <v>102</v>
      </c>
      <c r="AC31">
        <v>4.7335427999999999E-2</v>
      </c>
    </row>
    <row r="32" spans="1:29" x14ac:dyDescent="0.35">
      <c r="A32" s="6" t="s">
        <v>26</v>
      </c>
      <c r="B32" s="7">
        <v>14.7</v>
      </c>
      <c r="C32" s="8">
        <v>8.3000000000000007</v>
      </c>
      <c r="D32" s="8">
        <v>130</v>
      </c>
      <c r="E32" s="7">
        <v>471</v>
      </c>
      <c r="F32" s="7">
        <f t="shared" si="0"/>
        <v>471000000000</v>
      </c>
      <c r="G32" s="7">
        <v>24.4</v>
      </c>
      <c r="H32" s="7">
        <v>236</v>
      </c>
      <c r="I32" s="7">
        <v>5</v>
      </c>
      <c r="J32" s="7">
        <v>19</v>
      </c>
      <c r="K32" s="7">
        <v>44</v>
      </c>
      <c r="L32" s="7">
        <v>42</v>
      </c>
      <c r="M32" s="7">
        <v>692</v>
      </c>
      <c r="V32" t="s">
        <v>475</v>
      </c>
      <c r="W32" t="s">
        <v>476</v>
      </c>
      <c r="AA32" t="s">
        <v>103</v>
      </c>
      <c r="AC32">
        <v>1.8934171199999999E-2</v>
      </c>
    </row>
    <row r="33" spans="1:29" x14ac:dyDescent="0.35">
      <c r="A33" s="6" t="s">
        <v>173</v>
      </c>
      <c r="B33" s="7">
        <v>9.6999999999999993</v>
      </c>
      <c r="C33" s="8">
        <v>3.2</v>
      </c>
      <c r="D33" s="8">
        <v>30</v>
      </c>
      <c r="E33" s="7">
        <v>169</v>
      </c>
      <c r="F33" s="7">
        <f t="shared" si="0"/>
        <v>169000000000</v>
      </c>
      <c r="G33" s="7">
        <v>22.1</v>
      </c>
      <c r="H33" s="7">
        <v>207</v>
      </c>
      <c r="I33" s="7">
        <v>8</v>
      </c>
      <c r="J33" s="7">
        <v>0</v>
      </c>
      <c r="K33" s="7">
        <v>40</v>
      </c>
      <c r="L33" s="7">
        <v>16</v>
      </c>
      <c r="M33" s="7">
        <v>145</v>
      </c>
      <c r="V33" t="s">
        <v>103</v>
      </c>
      <c r="W33">
        <v>0.6</v>
      </c>
      <c r="Y33">
        <f>W33*0.031556952</f>
        <v>1.8934171199999999E-2</v>
      </c>
      <c r="AA33" t="s">
        <v>104</v>
      </c>
      <c r="AC33">
        <v>8.8359465599999992E-2</v>
      </c>
    </row>
    <row r="34" spans="1:29" x14ac:dyDescent="0.35">
      <c r="A34" s="6" t="s">
        <v>54</v>
      </c>
      <c r="B34" s="7">
        <v>3.2</v>
      </c>
      <c r="C34" s="8">
        <v>1.6</v>
      </c>
      <c r="D34" s="8">
        <v>19</v>
      </c>
      <c r="E34" s="7">
        <v>61</v>
      </c>
      <c r="F34" s="7">
        <f t="shared" si="0"/>
        <v>61000000000</v>
      </c>
      <c r="G34" s="7">
        <v>26.7</v>
      </c>
      <c r="H34" s="7">
        <v>242</v>
      </c>
      <c r="I34" s="7">
        <v>5</v>
      </c>
      <c r="J34" s="7">
        <v>11</v>
      </c>
      <c r="K34" s="7">
        <v>35</v>
      </c>
      <c r="L34" s="7">
        <v>19</v>
      </c>
      <c r="M34" s="7">
        <v>176</v>
      </c>
      <c r="V34" t="s">
        <v>477</v>
      </c>
      <c r="W34">
        <v>2.8</v>
      </c>
      <c r="Y34">
        <f>W34*0.031556952</f>
        <v>8.8359465599999992E-2</v>
      </c>
      <c r="AA34" t="s">
        <v>105</v>
      </c>
      <c r="AC34">
        <v>0.22089866399999999</v>
      </c>
    </row>
    <row r="35" spans="1:29" x14ac:dyDescent="0.35">
      <c r="A35" s="6" t="s">
        <v>62</v>
      </c>
      <c r="B35" s="7">
        <v>1.9</v>
      </c>
      <c r="C35" s="8">
        <v>0.8</v>
      </c>
      <c r="D35" s="8">
        <v>9</v>
      </c>
      <c r="E35" s="7">
        <v>28</v>
      </c>
      <c r="F35" s="7">
        <f t="shared" si="0"/>
        <v>28000000000</v>
      </c>
      <c r="G35" s="7">
        <v>26.5</v>
      </c>
      <c r="H35" s="7">
        <v>251</v>
      </c>
      <c r="I35" s="7">
        <v>5</v>
      </c>
      <c r="J35" s="7">
        <v>17</v>
      </c>
      <c r="K35" s="7">
        <v>33</v>
      </c>
      <c r="L35" s="7">
        <v>33</v>
      </c>
      <c r="M35" s="7">
        <v>290</v>
      </c>
      <c r="V35" t="s">
        <v>478</v>
      </c>
      <c r="W35">
        <v>7</v>
      </c>
      <c r="Y35">
        <f>W35*0.031556952</f>
        <v>0.22089866399999999</v>
      </c>
      <c r="AA35" t="s">
        <v>106</v>
      </c>
      <c r="AC35">
        <v>0.1640961504</v>
      </c>
    </row>
    <row r="36" spans="1:29" x14ac:dyDescent="0.35">
      <c r="A36" s="6" t="s">
        <v>63</v>
      </c>
      <c r="B36" s="7">
        <v>5.4</v>
      </c>
      <c r="C36" s="8">
        <v>1.7</v>
      </c>
      <c r="D36" s="8">
        <v>19</v>
      </c>
      <c r="E36" s="7">
        <v>86</v>
      </c>
      <c r="F36" s="7">
        <f t="shared" si="0"/>
        <v>86000000000</v>
      </c>
      <c r="G36" s="7">
        <v>20.5</v>
      </c>
      <c r="H36" s="7">
        <v>187</v>
      </c>
      <c r="I36" s="7">
        <v>9</v>
      </c>
      <c r="J36" s="7">
        <v>0</v>
      </c>
      <c r="K36" s="7">
        <v>35</v>
      </c>
      <c r="L36" s="7">
        <v>14</v>
      </c>
      <c r="M36" s="7">
        <v>110</v>
      </c>
      <c r="V36" t="s">
        <v>479</v>
      </c>
      <c r="W36">
        <v>5.2</v>
      </c>
      <c r="Y36">
        <f>W36*0.031556952</f>
        <v>0.1640961504</v>
      </c>
      <c r="AA36" t="s">
        <v>107</v>
      </c>
      <c r="AC36">
        <v>0.73527698159999999</v>
      </c>
    </row>
    <row r="37" spans="1:29" x14ac:dyDescent="0.35">
      <c r="A37" s="6" t="s">
        <v>32</v>
      </c>
      <c r="B37" s="8">
        <v>4</v>
      </c>
      <c r="C37" s="8">
        <v>0.7</v>
      </c>
      <c r="D37" s="8">
        <v>9</v>
      </c>
      <c r="E37" s="7">
        <v>24</v>
      </c>
      <c r="F37" s="7">
        <f t="shared" si="0"/>
        <v>24000000000</v>
      </c>
      <c r="G37" s="7">
        <v>30.2</v>
      </c>
      <c r="H37" s="7">
        <v>283</v>
      </c>
      <c r="I37" s="7">
        <v>2</v>
      </c>
      <c r="J37" s="7">
        <v>6</v>
      </c>
      <c r="K37" s="7">
        <v>36</v>
      </c>
      <c r="L37" s="7">
        <v>82</v>
      </c>
      <c r="M37" s="7">
        <v>715</v>
      </c>
      <c r="V37" t="s">
        <v>480</v>
      </c>
      <c r="W37">
        <v>23.3</v>
      </c>
      <c r="Y37">
        <f>W37*0.031556952</f>
        <v>0.73527698159999999</v>
      </c>
      <c r="AA37" t="s">
        <v>108</v>
      </c>
      <c r="AC37">
        <v>4.7335427999999999E-2</v>
      </c>
    </row>
    <row r="38" spans="1:29" x14ac:dyDescent="0.35">
      <c r="A38" s="6" t="s">
        <v>42</v>
      </c>
      <c r="B38" s="7">
        <v>2.4</v>
      </c>
      <c r="C38" s="8">
        <v>1</v>
      </c>
      <c r="D38" s="8">
        <v>11</v>
      </c>
      <c r="E38" s="7">
        <v>57</v>
      </c>
      <c r="F38" s="7">
        <f t="shared" si="0"/>
        <v>57000000000</v>
      </c>
      <c r="G38" s="7">
        <v>21.9</v>
      </c>
      <c r="H38" s="7">
        <v>217</v>
      </c>
      <c r="I38" s="7">
        <v>5</v>
      </c>
      <c r="J38" s="7">
        <v>26</v>
      </c>
      <c r="K38" s="7">
        <v>30</v>
      </c>
      <c r="L38" s="7">
        <v>10</v>
      </c>
      <c r="M38" s="7">
        <v>100</v>
      </c>
      <c r="V38" t="s">
        <v>481</v>
      </c>
      <c r="W38" t="s">
        <v>482</v>
      </c>
      <c r="AA38" t="s">
        <v>109</v>
      </c>
      <c r="AC38">
        <v>6.7531877279999994</v>
      </c>
    </row>
    <row r="39" spans="1:29" x14ac:dyDescent="0.35">
      <c r="A39" s="6" t="s">
        <v>29</v>
      </c>
      <c r="B39" s="8">
        <v>6</v>
      </c>
      <c r="C39" s="8">
        <v>1.5</v>
      </c>
      <c r="D39" s="8">
        <v>19</v>
      </c>
      <c r="E39" s="7">
        <v>87</v>
      </c>
      <c r="F39" s="7">
        <f t="shared" si="0"/>
        <v>87000000000</v>
      </c>
      <c r="G39" s="7">
        <v>20.5</v>
      </c>
      <c r="H39" s="7">
        <v>199</v>
      </c>
      <c r="I39" s="7">
        <v>0</v>
      </c>
      <c r="J39" s="7">
        <v>0</v>
      </c>
      <c r="K39" s="7">
        <v>27</v>
      </c>
      <c r="L39" s="7">
        <v>46</v>
      </c>
      <c r="M39" s="7">
        <v>493</v>
      </c>
      <c r="V39" t="s">
        <v>108</v>
      </c>
      <c r="W39">
        <v>1.5</v>
      </c>
      <c r="Y39">
        <f t="shared" si="1"/>
        <v>4.7335427999999999E-2</v>
      </c>
      <c r="AA39" t="s">
        <v>110</v>
      </c>
      <c r="AC39">
        <v>1.2559666895999999</v>
      </c>
    </row>
    <row r="40" spans="1:29" x14ac:dyDescent="0.35">
      <c r="A40" s="6" t="s">
        <v>45</v>
      </c>
      <c r="B40" s="7">
        <v>13.9</v>
      </c>
      <c r="C40" s="8">
        <v>3.4</v>
      </c>
      <c r="D40" s="8">
        <v>69</v>
      </c>
      <c r="E40" s="7">
        <v>263</v>
      </c>
      <c r="F40" s="7">
        <f t="shared" si="0"/>
        <v>263000000000</v>
      </c>
      <c r="G40" s="7">
        <v>4.2</v>
      </c>
      <c r="H40" s="7">
        <v>51</v>
      </c>
      <c r="I40" s="7">
        <v>7</v>
      </c>
      <c r="J40" s="7">
        <v>31</v>
      </c>
      <c r="K40" s="7">
        <v>26</v>
      </c>
      <c r="L40" s="7">
        <v>9</v>
      </c>
      <c r="M40" s="7">
        <v>124</v>
      </c>
      <c r="V40" t="s">
        <v>483</v>
      </c>
      <c r="W40" t="s">
        <v>482</v>
      </c>
      <c r="AA40" t="s">
        <v>111</v>
      </c>
      <c r="AC40">
        <v>1.9880879759999999</v>
      </c>
    </row>
    <row r="41" spans="1:29" x14ac:dyDescent="0.35">
      <c r="A41" s="6" t="s">
        <v>67</v>
      </c>
      <c r="B41" s="7">
        <v>11.4</v>
      </c>
      <c r="C41" s="8">
        <v>4.9000000000000004</v>
      </c>
      <c r="D41" s="8">
        <v>57</v>
      </c>
      <c r="E41" s="7">
        <v>194</v>
      </c>
      <c r="F41" s="7">
        <f t="shared" si="0"/>
        <v>194000000000</v>
      </c>
      <c r="G41" s="7">
        <v>44.3</v>
      </c>
      <c r="H41" s="7">
        <v>409</v>
      </c>
      <c r="I41" s="7">
        <v>17</v>
      </c>
      <c r="J41" s="7">
        <v>65</v>
      </c>
      <c r="K41" s="7">
        <v>72</v>
      </c>
      <c r="L41" s="7">
        <v>91</v>
      </c>
      <c r="M41" s="7">
        <v>839</v>
      </c>
      <c r="V41" t="s">
        <v>484</v>
      </c>
      <c r="W41" t="s">
        <v>482</v>
      </c>
      <c r="AA41" t="s">
        <v>112</v>
      </c>
      <c r="AC41">
        <v>1.009822464</v>
      </c>
    </row>
    <row r="42" spans="1:29" x14ac:dyDescent="0.35">
      <c r="A42" s="6" t="s">
        <v>174</v>
      </c>
      <c r="B42" s="7">
        <v>15.6</v>
      </c>
      <c r="C42" s="8">
        <v>3.1</v>
      </c>
      <c r="D42" s="8">
        <v>34</v>
      </c>
      <c r="E42" s="7">
        <v>201</v>
      </c>
      <c r="F42" s="7">
        <f t="shared" si="0"/>
        <v>201000000000</v>
      </c>
      <c r="G42" s="7">
        <v>6.2</v>
      </c>
      <c r="H42" s="7">
        <v>51</v>
      </c>
      <c r="I42" s="7">
        <v>1</v>
      </c>
      <c r="J42" s="7">
        <v>0</v>
      </c>
      <c r="K42" s="7">
        <v>22</v>
      </c>
      <c r="L42" s="7">
        <v>6</v>
      </c>
      <c r="M42" s="7">
        <v>68</v>
      </c>
      <c r="V42" t="s">
        <v>109</v>
      </c>
      <c r="W42">
        <v>214</v>
      </c>
      <c r="Y42">
        <f t="shared" si="1"/>
        <v>6.7531877279999994</v>
      </c>
    </row>
    <row r="43" spans="1:29" x14ac:dyDescent="0.35">
      <c r="A43" s="6" t="s">
        <v>28</v>
      </c>
      <c r="B43" s="7">
        <v>0.7</v>
      </c>
      <c r="C43" s="8">
        <v>0.3</v>
      </c>
      <c r="D43" s="8">
        <v>5</v>
      </c>
      <c r="E43" s="7">
        <v>14</v>
      </c>
      <c r="F43" s="7">
        <f t="shared" si="0"/>
        <v>14000000000</v>
      </c>
      <c r="G43" s="7">
        <v>10.3</v>
      </c>
      <c r="H43" s="7">
        <v>108</v>
      </c>
      <c r="I43" s="7">
        <v>1</v>
      </c>
      <c r="J43" s="7">
        <v>0</v>
      </c>
      <c r="K43" s="7">
        <v>12</v>
      </c>
      <c r="L43" s="7">
        <v>53</v>
      </c>
      <c r="M43" s="7">
        <v>542</v>
      </c>
      <c r="V43" t="s">
        <v>110</v>
      </c>
      <c r="W43">
        <v>39.799999999999997</v>
      </c>
      <c r="Y43">
        <f t="shared" si="1"/>
        <v>1.2559666895999999</v>
      </c>
    </row>
    <row r="44" spans="1:29" x14ac:dyDescent="0.35">
      <c r="A44" s="6" t="s">
        <v>66</v>
      </c>
      <c r="B44" s="7">
        <v>2.7</v>
      </c>
      <c r="C44" s="8">
        <v>0.9</v>
      </c>
      <c r="D44" s="8">
        <v>13</v>
      </c>
      <c r="E44" s="7">
        <v>29</v>
      </c>
      <c r="F44" s="7">
        <f t="shared" si="0"/>
        <v>29000000000</v>
      </c>
      <c r="G44" s="7">
        <v>17.3</v>
      </c>
      <c r="H44" s="7">
        <v>164</v>
      </c>
      <c r="I44" s="7">
        <v>0</v>
      </c>
      <c r="J44" s="7">
        <v>0</v>
      </c>
      <c r="K44" s="7">
        <v>20</v>
      </c>
      <c r="L44" s="7">
        <v>24</v>
      </c>
      <c r="M44" s="7">
        <v>227</v>
      </c>
      <c r="V44" t="s">
        <v>111</v>
      </c>
      <c r="W44">
        <v>63</v>
      </c>
      <c r="Y44">
        <f t="shared" si="1"/>
        <v>1.9880879759999999</v>
      </c>
    </row>
    <row r="45" spans="1:29" x14ac:dyDescent="0.35">
      <c r="A45" s="6" t="s">
        <v>51</v>
      </c>
      <c r="B45" s="7">
        <v>10.5</v>
      </c>
      <c r="C45" s="8">
        <v>2.5</v>
      </c>
      <c r="D45" s="8">
        <v>29</v>
      </c>
      <c r="E45" s="7">
        <v>76</v>
      </c>
      <c r="F45" s="7">
        <f t="shared" si="0"/>
        <v>76000000000</v>
      </c>
      <c r="G45" s="8">
        <v>6</v>
      </c>
      <c r="H45" s="7">
        <v>55</v>
      </c>
      <c r="I45" s="7">
        <v>0</v>
      </c>
      <c r="J45" s="7">
        <v>0</v>
      </c>
      <c r="K45" s="7">
        <v>16</v>
      </c>
      <c r="L45" s="7">
        <v>15</v>
      </c>
      <c r="M45" s="7">
        <v>119</v>
      </c>
      <c r="V45" t="s">
        <v>112</v>
      </c>
      <c r="W45">
        <v>32</v>
      </c>
      <c r="Y45">
        <f t="shared" si="1"/>
        <v>1.009822464</v>
      </c>
    </row>
    <row r="46" spans="1:29" x14ac:dyDescent="0.35">
      <c r="A46" s="6" t="s">
        <v>30</v>
      </c>
      <c r="B46" s="7">
        <v>3.6</v>
      </c>
      <c r="C46" s="8">
        <v>0.5</v>
      </c>
      <c r="D46" s="8">
        <v>7</v>
      </c>
      <c r="E46" s="7">
        <v>15</v>
      </c>
      <c r="F46" s="7">
        <f t="shared" si="0"/>
        <v>15000000000</v>
      </c>
      <c r="G46" s="7">
        <v>8.6999999999999993</v>
      </c>
      <c r="H46" s="7">
        <v>82</v>
      </c>
      <c r="I46" s="7">
        <v>7</v>
      </c>
      <c r="J46" s="7">
        <v>33</v>
      </c>
      <c r="K46" s="7">
        <v>19</v>
      </c>
      <c r="L46" s="7">
        <v>81</v>
      </c>
      <c r="M46" s="7">
        <v>554</v>
      </c>
    </row>
    <row r="47" spans="1:29" x14ac:dyDescent="0.35">
      <c r="A47" s="6" t="s">
        <v>46</v>
      </c>
      <c r="B47" s="7">
        <v>4.5999999999999996</v>
      </c>
      <c r="C47" s="8">
        <v>1.9</v>
      </c>
      <c r="D47" s="8">
        <v>30</v>
      </c>
      <c r="E47" s="7">
        <v>61</v>
      </c>
      <c r="F47" s="7">
        <f t="shared" si="0"/>
        <v>61000000000</v>
      </c>
      <c r="G47" s="7">
        <v>9.8000000000000007</v>
      </c>
      <c r="H47" s="7">
        <v>90</v>
      </c>
      <c r="I47" s="7">
        <v>1</v>
      </c>
      <c r="J47" s="7">
        <v>5</v>
      </c>
      <c r="K47" s="7">
        <v>16</v>
      </c>
      <c r="L47" s="7">
        <v>23</v>
      </c>
      <c r="M47" s="7">
        <v>233</v>
      </c>
    </row>
    <row r="48" spans="1:29" x14ac:dyDescent="0.35">
      <c r="A48" s="6" t="s">
        <v>55</v>
      </c>
      <c r="B48" s="7">
        <v>3.5</v>
      </c>
      <c r="C48" s="8">
        <v>1.6</v>
      </c>
      <c r="D48" s="8">
        <v>19</v>
      </c>
      <c r="E48" s="7">
        <v>54</v>
      </c>
      <c r="F48" s="7">
        <f t="shared" si="0"/>
        <v>54000000000</v>
      </c>
      <c r="G48" s="7">
        <v>6.6</v>
      </c>
      <c r="H48" s="7">
        <v>59</v>
      </c>
      <c r="I48" s="7">
        <v>6</v>
      </c>
      <c r="J48" s="7">
        <v>21</v>
      </c>
      <c r="K48" s="7">
        <v>16</v>
      </c>
      <c r="L48" s="7">
        <v>18</v>
      </c>
      <c r="M48" s="7">
        <v>146</v>
      </c>
    </row>
    <row r="49" spans="1:37" x14ac:dyDescent="0.35">
      <c r="A49" s="6" t="s">
        <v>44</v>
      </c>
      <c r="B49" s="8">
        <v>6</v>
      </c>
      <c r="C49" s="8">
        <v>4.4000000000000004</v>
      </c>
      <c r="D49" s="8">
        <v>55</v>
      </c>
      <c r="E49" s="7">
        <v>48</v>
      </c>
      <c r="F49" s="7">
        <f t="shared" si="0"/>
        <v>48000000000</v>
      </c>
      <c r="G49" s="7">
        <v>2.6</v>
      </c>
      <c r="H49" s="7">
        <v>23</v>
      </c>
      <c r="I49" s="7">
        <v>0</v>
      </c>
      <c r="J49" s="7">
        <v>0</v>
      </c>
      <c r="K49" s="7">
        <v>9</v>
      </c>
      <c r="L49" s="7">
        <v>20</v>
      </c>
      <c r="M49" s="7">
        <v>169</v>
      </c>
    </row>
    <row r="50" spans="1:37" x14ac:dyDescent="0.35">
      <c r="A50" s="6" t="s">
        <v>52</v>
      </c>
      <c r="B50" s="7">
        <v>1.4</v>
      </c>
      <c r="C50" s="8">
        <v>0.9</v>
      </c>
      <c r="D50" s="8">
        <v>10</v>
      </c>
      <c r="E50" s="7">
        <v>43</v>
      </c>
      <c r="F50" s="7">
        <f t="shared" si="0"/>
        <v>43000000000</v>
      </c>
      <c r="G50" s="7">
        <v>7.2</v>
      </c>
      <c r="H50" s="7">
        <v>65</v>
      </c>
      <c r="I50" s="7">
        <v>4</v>
      </c>
      <c r="J50" s="7">
        <v>15</v>
      </c>
      <c r="K50" s="7">
        <v>12</v>
      </c>
      <c r="L50" s="7">
        <v>11</v>
      </c>
      <c r="M50" s="7">
        <v>109</v>
      </c>
    </row>
    <row r="51" spans="1:37" x14ac:dyDescent="0.35">
      <c r="A51" s="6" t="s">
        <v>39</v>
      </c>
      <c r="B51" s="7">
        <v>0.7</v>
      </c>
      <c r="C51" s="8">
        <v>0.3</v>
      </c>
      <c r="D51" s="8">
        <v>4</v>
      </c>
      <c r="E51" s="7">
        <v>9</v>
      </c>
      <c r="F51" s="7">
        <f t="shared" si="0"/>
        <v>9000000000</v>
      </c>
      <c r="G51" s="8">
        <v>8</v>
      </c>
      <c r="H51" s="7">
        <v>69</v>
      </c>
      <c r="I51" s="7">
        <v>1</v>
      </c>
      <c r="J51" s="7">
        <v>3</v>
      </c>
      <c r="K51" s="7">
        <v>10</v>
      </c>
      <c r="L51" s="7">
        <v>28</v>
      </c>
      <c r="M51" s="7">
        <v>232</v>
      </c>
      <c r="V51" t="s">
        <v>487</v>
      </c>
    </row>
    <row r="52" spans="1:37" x14ac:dyDescent="0.35">
      <c r="A52" s="6" t="s">
        <v>70</v>
      </c>
      <c r="B52" s="7">
        <v>2.2000000000000002</v>
      </c>
      <c r="C52" s="8">
        <v>1.1000000000000001</v>
      </c>
      <c r="D52" s="8">
        <v>13</v>
      </c>
      <c r="E52" s="7">
        <v>33</v>
      </c>
      <c r="F52" s="7">
        <f t="shared" si="0"/>
        <v>33000000000</v>
      </c>
      <c r="G52" s="7">
        <v>7.2</v>
      </c>
      <c r="H52" s="7">
        <v>64</v>
      </c>
      <c r="I52" s="7">
        <v>1</v>
      </c>
      <c r="J52" s="7">
        <v>3</v>
      </c>
      <c r="K52" s="7">
        <v>10</v>
      </c>
      <c r="L52" s="7">
        <v>6</v>
      </c>
      <c r="M52" s="7">
        <v>54</v>
      </c>
      <c r="V52" t="s">
        <v>488</v>
      </c>
      <c r="W52" t="s">
        <v>489</v>
      </c>
      <c r="X52" t="s">
        <v>490</v>
      </c>
      <c r="Y52" t="s">
        <v>491</v>
      </c>
      <c r="Z52" t="s">
        <v>492</v>
      </c>
      <c r="AA52" t="s">
        <v>493</v>
      </c>
      <c r="AB52" t="s">
        <v>494</v>
      </c>
      <c r="AC52" t="s">
        <v>495</v>
      </c>
      <c r="AD52" t="s">
        <v>496</v>
      </c>
      <c r="AE52" t="s">
        <v>497</v>
      </c>
    </row>
    <row r="53" spans="1:37" x14ac:dyDescent="0.35">
      <c r="A53" s="6" t="s">
        <v>48</v>
      </c>
      <c r="B53" s="7">
        <v>2.6</v>
      </c>
      <c r="C53" s="8">
        <v>1.6</v>
      </c>
      <c r="D53" s="8">
        <v>19</v>
      </c>
      <c r="E53" s="7">
        <v>62</v>
      </c>
      <c r="F53" s="7">
        <f t="shared" si="0"/>
        <v>62000000000</v>
      </c>
      <c r="G53" s="7">
        <v>3.5</v>
      </c>
      <c r="H53" s="7">
        <v>30</v>
      </c>
      <c r="I53" s="7">
        <v>5</v>
      </c>
      <c r="J53" s="7">
        <v>17</v>
      </c>
      <c r="K53" s="7">
        <v>11</v>
      </c>
      <c r="L53" s="7">
        <v>15</v>
      </c>
      <c r="M53" s="7">
        <v>144</v>
      </c>
      <c r="V53" s="35">
        <v>42552</v>
      </c>
      <c r="W53" t="s">
        <v>345</v>
      </c>
      <c r="X53" t="s">
        <v>346</v>
      </c>
      <c r="Y53">
        <v>1.7</v>
      </c>
      <c r="Z53">
        <v>8.1</v>
      </c>
      <c r="AA53">
        <v>2.9</v>
      </c>
      <c r="AB53" s="1">
        <v>596000</v>
      </c>
      <c r="AC53">
        <v>2.6</v>
      </c>
      <c r="AD53" s="1">
        <v>22500</v>
      </c>
      <c r="AE53">
        <v>1</v>
      </c>
    </row>
    <row r="54" spans="1:37" x14ac:dyDescent="0.35">
      <c r="A54" s="6" t="s">
        <v>24</v>
      </c>
      <c r="B54" s="7">
        <v>0.4</v>
      </c>
      <c r="C54" s="8">
        <v>0.1</v>
      </c>
      <c r="D54" s="7">
        <v>1.4</v>
      </c>
      <c r="E54" s="7">
        <v>4.7</v>
      </c>
      <c r="F54" s="7">
        <f t="shared" si="0"/>
        <v>4700000000</v>
      </c>
      <c r="G54" s="7">
        <v>8.4</v>
      </c>
      <c r="H54" s="8">
        <v>74</v>
      </c>
      <c r="I54" s="7">
        <v>2</v>
      </c>
      <c r="J54" s="7">
        <v>3</v>
      </c>
      <c r="K54" s="7">
        <v>10</v>
      </c>
      <c r="L54" s="7">
        <v>109</v>
      </c>
      <c r="M54" s="7">
        <v>856</v>
      </c>
      <c r="V54" s="35">
        <v>42552</v>
      </c>
      <c r="W54" t="s">
        <v>345</v>
      </c>
      <c r="X54" t="s">
        <v>347</v>
      </c>
      <c r="Y54">
        <v>21.3</v>
      </c>
      <c r="Z54">
        <v>66</v>
      </c>
      <c r="AA54">
        <v>19.5</v>
      </c>
      <c r="AB54" s="1">
        <v>5440000</v>
      </c>
      <c r="AC54">
        <v>24</v>
      </c>
      <c r="AD54" s="1">
        <v>272000</v>
      </c>
      <c r="AE54">
        <v>12</v>
      </c>
    </row>
    <row r="55" spans="1:37" x14ac:dyDescent="0.35">
      <c r="A55" s="6" t="s">
        <v>175</v>
      </c>
      <c r="B55" s="8">
        <v>2</v>
      </c>
      <c r="C55" s="8">
        <v>1.2</v>
      </c>
      <c r="D55" s="8">
        <v>14</v>
      </c>
      <c r="E55" s="8">
        <v>37</v>
      </c>
      <c r="F55" s="7">
        <f t="shared" si="0"/>
        <v>37000000000</v>
      </c>
      <c r="G55" s="7">
        <v>5.7</v>
      </c>
      <c r="H55" s="8">
        <v>49</v>
      </c>
      <c r="I55" s="7">
        <v>0</v>
      </c>
      <c r="J55" s="7">
        <v>0</v>
      </c>
      <c r="K55" s="7">
        <v>8</v>
      </c>
      <c r="L55" s="7">
        <v>14</v>
      </c>
      <c r="M55" s="7">
        <v>157</v>
      </c>
      <c r="V55" s="35">
        <v>42552</v>
      </c>
      <c r="W55" t="s">
        <v>345</v>
      </c>
      <c r="X55" t="s">
        <v>348</v>
      </c>
      <c r="Y55">
        <v>8.3000000000000007</v>
      </c>
      <c r="Z55">
        <v>79.900000000000006</v>
      </c>
      <c r="AA55">
        <v>30.3</v>
      </c>
      <c r="AB55" s="1">
        <v>584000</v>
      </c>
      <c r="AC55">
        <v>25.7</v>
      </c>
      <c r="AD55" s="1">
        <v>230000</v>
      </c>
      <c r="AE55">
        <v>10.1</v>
      </c>
      <c r="AG55" t="s">
        <v>488</v>
      </c>
      <c r="AH55" t="s">
        <v>489</v>
      </c>
      <c r="AI55" t="s">
        <v>490</v>
      </c>
      <c r="AJ55" t="s">
        <v>491</v>
      </c>
      <c r="AK55" t="s">
        <v>499</v>
      </c>
    </row>
    <row r="56" spans="1:37" x14ac:dyDescent="0.35">
      <c r="A56" s="6" t="s">
        <v>72</v>
      </c>
      <c r="B56" s="7">
        <v>3.3</v>
      </c>
      <c r="C56" s="8">
        <v>1.5</v>
      </c>
      <c r="D56" s="8">
        <v>17</v>
      </c>
      <c r="E56" s="8">
        <v>82</v>
      </c>
      <c r="F56" s="7">
        <f t="shared" si="0"/>
        <v>82000000000</v>
      </c>
      <c r="G56" s="7">
        <v>3.8</v>
      </c>
      <c r="H56" s="8">
        <v>36</v>
      </c>
      <c r="I56" s="7">
        <v>2</v>
      </c>
      <c r="J56" s="7">
        <v>10</v>
      </c>
      <c r="K56" s="7">
        <v>9</v>
      </c>
      <c r="L56" s="7">
        <v>78</v>
      </c>
      <c r="M56" s="7">
        <v>1062</v>
      </c>
      <c r="V56" s="35">
        <v>42552</v>
      </c>
      <c r="W56" t="s">
        <v>345</v>
      </c>
      <c r="X56" t="s">
        <v>498</v>
      </c>
      <c r="Y56">
        <v>7.5</v>
      </c>
      <c r="Z56">
        <v>34.6</v>
      </c>
      <c r="AA56">
        <v>11.8</v>
      </c>
      <c r="AB56" s="1">
        <v>268000</v>
      </c>
      <c r="AC56">
        <v>11.8</v>
      </c>
      <c r="AD56" s="1">
        <v>119000</v>
      </c>
      <c r="AE56">
        <v>5.2</v>
      </c>
      <c r="AG56">
        <v>42552</v>
      </c>
      <c r="AH56" t="s">
        <v>345</v>
      </c>
      <c r="AI56" t="s">
        <v>498</v>
      </c>
      <c r="AJ56">
        <v>7.5</v>
      </c>
      <c r="AK56">
        <f>AJ56*31.56</f>
        <v>236.7</v>
      </c>
    </row>
    <row r="57" spans="1:37" x14ac:dyDescent="0.35">
      <c r="A57" s="6" t="s">
        <v>73</v>
      </c>
      <c r="B57" s="8">
        <v>1</v>
      </c>
      <c r="C57" s="8">
        <v>0.6</v>
      </c>
      <c r="D57" s="8">
        <v>7</v>
      </c>
      <c r="E57" s="8">
        <v>16</v>
      </c>
      <c r="F57" s="7">
        <f t="shared" si="0"/>
        <v>16000000000</v>
      </c>
      <c r="G57" s="7">
        <v>6.6</v>
      </c>
      <c r="H57" s="8">
        <v>58</v>
      </c>
      <c r="I57" s="7">
        <v>1</v>
      </c>
      <c r="J57" s="7">
        <v>4</v>
      </c>
      <c r="K57" s="7">
        <v>9</v>
      </c>
      <c r="L57" s="7">
        <v>126</v>
      </c>
      <c r="M57" s="7">
        <v>1119</v>
      </c>
      <c r="V57" s="35">
        <v>42552</v>
      </c>
      <c r="W57" t="s">
        <v>341</v>
      </c>
      <c r="X57" t="s">
        <v>342</v>
      </c>
      <c r="Y57">
        <v>15.5</v>
      </c>
      <c r="Z57">
        <v>61.5</v>
      </c>
      <c r="AA57">
        <v>27</v>
      </c>
      <c r="AB57" s="1">
        <v>384000</v>
      </c>
      <c r="AC57">
        <v>16.899999999999999</v>
      </c>
      <c r="AD57" s="1">
        <v>85300</v>
      </c>
      <c r="AE57">
        <v>3.8</v>
      </c>
      <c r="AG57">
        <v>42552</v>
      </c>
      <c r="AH57" t="s">
        <v>341</v>
      </c>
      <c r="AI57" t="s">
        <v>498</v>
      </c>
      <c r="AJ57">
        <v>7.5</v>
      </c>
      <c r="AK57">
        <f t="shared" ref="AK57:AK61" si="2">AJ57*31.56</f>
        <v>236.7</v>
      </c>
    </row>
    <row r="58" spans="1:37" x14ac:dyDescent="0.35">
      <c r="A58" s="6" t="s">
        <v>74</v>
      </c>
      <c r="B58" s="7">
        <v>2.4</v>
      </c>
      <c r="C58" s="8">
        <v>0.9</v>
      </c>
      <c r="D58" s="8">
        <v>17</v>
      </c>
      <c r="E58" s="8">
        <v>49</v>
      </c>
      <c r="F58" s="7">
        <f t="shared" si="0"/>
        <v>49000000000</v>
      </c>
      <c r="G58" s="7">
        <v>6.7</v>
      </c>
      <c r="H58" s="8">
        <v>66</v>
      </c>
      <c r="I58" s="7">
        <v>0</v>
      </c>
      <c r="J58" s="7">
        <v>0</v>
      </c>
      <c r="K58" s="7">
        <v>9</v>
      </c>
      <c r="L58" s="7">
        <v>149</v>
      </c>
      <c r="M58" s="7">
        <v>1884</v>
      </c>
      <c r="V58" s="35">
        <v>42552</v>
      </c>
      <c r="W58" t="s">
        <v>341</v>
      </c>
      <c r="X58" t="s">
        <v>343</v>
      </c>
      <c r="Y58">
        <v>2.1</v>
      </c>
      <c r="Z58">
        <v>15.1</v>
      </c>
      <c r="AA58">
        <v>5.5</v>
      </c>
      <c r="AB58" s="1">
        <v>95600</v>
      </c>
      <c r="AC58">
        <v>4.2</v>
      </c>
      <c r="AD58" s="1">
        <v>35500</v>
      </c>
      <c r="AE58">
        <v>1.6</v>
      </c>
      <c r="AG58">
        <v>42552</v>
      </c>
      <c r="AH58" t="s">
        <v>349</v>
      </c>
      <c r="AI58" t="s">
        <v>498</v>
      </c>
      <c r="AJ58">
        <v>6.8</v>
      </c>
      <c r="AK58">
        <f t="shared" si="2"/>
        <v>214.60799999999998</v>
      </c>
    </row>
    <row r="59" spans="1:37" x14ac:dyDescent="0.35">
      <c r="A59" s="6" t="s">
        <v>76</v>
      </c>
      <c r="B59" s="7">
        <v>5.7</v>
      </c>
      <c r="C59" s="8">
        <v>1</v>
      </c>
      <c r="D59" s="8">
        <v>11</v>
      </c>
      <c r="E59" s="8">
        <v>87</v>
      </c>
      <c r="F59" s="7">
        <f t="shared" si="0"/>
        <v>87000000000</v>
      </c>
      <c r="G59" s="7">
        <v>1.6</v>
      </c>
      <c r="H59" s="8">
        <v>15</v>
      </c>
      <c r="I59" s="7">
        <v>0</v>
      </c>
      <c r="J59" s="7">
        <v>0</v>
      </c>
      <c r="K59" s="7">
        <v>7</v>
      </c>
      <c r="L59" s="7">
        <v>10</v>
      </c>
      <c r="M59" s="7">
        <v>135</v>
      </c>
      <c r="V59" s="35">
        <v>42552</v>
      </c>
      <c r="W59" t="s">
        <v>341</v>
      </c>
      <c r="X59" t="s">
        <v>344</v>
      </c>
      <c r="Y59">
        <v>10.9</v>
      </c>
      <c r="Z59">
        <v>82.8</v>
      </c>
      <c r="AA59">
        <v>31.3</v>
      </c>
      <c r="AB59" s="1">
        <v>535000</v>
      </c>
      <c r="AC59">
        <v>23.5</v>
      </c>
      <c r="AD59" s="1">
        <v>185000</v>
      </c>
      <c r="AE59">
        <v>8.1</v>
      </c>
      <c r="AG59">
        <v>42826</v>
      </c>
      <c r="AH59" t="s">
        <v>345</v>
      </c>
      <c r="AI59" t="s">
        <v>498</v>
      </c>
      <c r="AJ59">
        <v>25</v>
      </c>
      <c r="AK59">
        <f t="shared" si="2"/>
        <v>789</v>
      </c>
    </row>
    <row r="60" spans="1:37" x14ac:dyDescent="0.35">
      <c r="A60" s="6" t="s">
        <v>77</v>
      </c>
      <c r="B60" s="7">
        <v>0.9</v>
      </c>
      <c r="C60" s="8">
        <v>0.5</v>
      </c>
      <c r="D60" s="8">
        <v>6</v>
      </c>
      <c r="E60" s="8">
        <v>21</v>
      </c>
      <c r="F60" s="7">
        <f t="shared" si="0"/>
        <v>21000000000</v>
      </c>
      <c r="G60" s="7">
        <v>5.9</v>
      </c>
      <c r="H60" s="8">
        <v>55</v>
      </c>
      <c r="I60" s="7">
        <v>0</v>
      </c>
      <c r="J60" s="7">
        <v>0</v>
      </c>
      <c r="K60" s="7">
        <v>7</v>
      </c>
      <c r="L60" s="7">
        <v>13</v>
      </c>
      <c r="M60" s="7">
        <v>150</v>
      </c>
      <c r="V60" s="35">
        <v>42552</v>
      </c>
      <c r="W60" t="s">
        <v>341</v>
      </c>
      <c r="X60" t="s">
        <v>498</v>
      </c>
      <c r="Y60">
        <v>7.5</v>
      </c>
      <c r="Z60">
        <v>48.6</v>
      </c>
      <c r="AA60">
        <v>18.899999999999999</v>
      </c>
      <c r="AB60" s="1">
        <v>324000</v>
      </c>
      <c r="AC60">
        <v>14.3</v>
      </c>
      <c r="AD60" s="1">
        <v>108000</v>
      </c>
      <c r="AE60">
        <v>4.8</v>
      </c>
      <c r="AG60">
        <v>42826</v>
      </c>
      <c r="AH60" t="s">
        <v>341</v>
      </c>
      <c r="AI60" t="s">
        <v>498</v>
      </c>
      <c r="AJ60">
        <v>30</v>
      </c>
      <c r="AK60">
        <f t="shared" si="2"/>
        <v>946.8</v>
      </c>
    </row>
    <row r="61" spans="1:37" x14ac:dyDescent="0.35">
      <c r="A61" s="6" t="s">
        <v>23</v>
      </c>
      <c r="B61" s="8">
        <v>3</v>
      </c>
      <c r="C61" s="8">
        <v>1.2</v>
      </c>
      <c r="D61" s="8">
        <v>22</v>
      </c>
      <c r="E61" s="8">
        <v>72</v>
      </c>
      <c r="F61" s="7">
        <f t="shared" si="0"/>
        <v>72000000000</v>
      </c>
      <c r="G61" s="7">
        <v>3.8</v>
      </c>
      <c r="H61" s="8">
        <v>36</v>
      </c>
      <c r="I61" s="7">
        <v>0</v>
      </c>
      <c r="J61" s="7">
        <v>0</v>
      </c>
      <c r="K61" s="7">
        <v>7</v>
      </c>
      <c r="L61" s="7">
        <v>87</v>
      </c>
      <c r="M61" s="7">
        <v>1378</v>
      </c>
      <c r="V61" s="35">
        <v>42552</v>
      </c>
      <c r="W61" t="s">
        <v>349</v>
      </c>
      <c r="X61" t="s">
        <v>350</v>
      </c>
      <c r="Y61">
        <v>15</v>
      </c>
      <c r="Z61">
        <v>23.7</v>
      </c>
      <c r="AA61">
        <v>8.5</v>
      </c>
      <c r="AB61" s="1">
        <v>151000</v>
      </c>
      <c r="AC61">
        <v>6.6</v>
      </c>
      <c r="AD61" s="1">
        <v>60200</v>
      </c>
      <c r="AE61">
        <v>2.6</v>
      </c>
      <c r="AG61">
        <v>42826</v>
      </c>
      <c r="AH61" t="s">
        <v>349</v>
      </c>
      <c r="AI61" t="s">
        <v>498</v>
      </c>
      <c r="AJ61">
        <v>21.6</v>
      </c>
      <c r="AK61">
        <f t="shared" si="2"/>
        <v>681.69600000000003</v>
      </c>
    </row>
    <row r="62" spans="1:37" x14ac:dyDescent="0.35">
      <c r="A62" s="6" t="s">
        <v>64</v>
      </c>
      <c r="B62" s="7">
        <v>2.9</v>
      </c>
      <c r="C62" s="8">
        <v>1.8</v>
      </c>
      <c r="D62" s="8">
        <v>21</v>
      </c>
      <c r="E62" s="8">
        <v>64</v>
      </c>
      <c r="F62" s="7">
        <f t="shared" si="0"/>
        <v>64000000000</v>
      </c>
      <c r="G62" s="7">
        <v>1.2</v>
      </c>
      <c r="H62" s="8">
        <v>11</v>
      </c>
      <c r="I62" s="7">
        <v>0</v>
      </c>
      <c r="J62" s="7">
        <v>0</v>
      </c>
      <c r="K62" s="7">
        <v>4</v>
      </c>
      <c r="L62" s="7">
        <v>1</v>
      </c>
      <c r="M62" s="7">
        <v>26</v>
      </c>
      <c r="V62" s="35">
        <v>42552</v>
      </c>
      <c r="W62" t="s">
        <v>349</v>
      </c>
      <c r="X62" t="s">
        <v>351</v>
      </c>
      <c r="Y62">
        <v>7</v>
      </c>
      <c r="Z62">
        <v>17.2</v>
      </c>
      <c r="AA62">
        <v>5.4</v>
      </c>
      <c r="AB62" s="1">
        <v>128000</v>
      </c>
      <c r="AC62">
        <v>5.6</v>
      </c>
      <c r="AD62" s="1">
        <v>61000</v>
      </c>
      <c r="AE62">
        <v>2.7</v>
      </c>
    </row>
    <row r="63" spans="1:37" x14ac:dyDescent="0.35">
      <c r="A63" s="6" t="s">
        <v>22</v>
      </c>
      <c r="B63" s="7">
        <v>3.5</v>
      </c>
      <c r="C63" s="8">
        <v>2.2999999999999998</v>
      </c>
      <c r="D63" s="8">
        <v>29</v>
      </c>
      <c r="E63" s="8">
        <v>95</v>
      </c>
      <c r="F63" s="7">
        <f t="shared" si="0"/>
        <v>95000000000</v>
      </c>
      <c r="G63" s="7">
        <v>0.8</v>
      </c>
      <c r="H63" s="7">
        <v>9.5</v>
      </c>
      <c r="I63" s="7">
        <v>0</v>
      </c>
      <c r="J63" s="7">
        <v>0</v>
      </c>
      <c r="K63" s="7">
        <v>4</v>
      </c>
      <c r="L63" s="7">
        <v>43</v>
      </c>
      <c r="M63" s="7">
        <v>1026</v>
      </c>
      <c r="V63" s="35">
        <v>42552</v>
      </c>
      <c r="W63" t="s">
        <v>349</v>
      </c>
      <c r="X63" t="s">
        <v>352</v>
      </c>
      <c r="Y63">
        <v>6.8</v>
      </c>
      <c r="Z63">
        <v>13.7</v>
      </c>
      <c r="AA63">
        <v>3.9</v>
      </c>
      <c r="AB63" s="1">
        <v>115000</v>
      </c>
      <c r="AC63">
        <v>5.0999999999999996</v>
      </c>
      <c r="AD63" s="1">
        <v>55500</v>
      </c>
      <c r="AE63">
        <v>2.4</v>
      </c>
    </row>
    <row r="64" spans="1:37" ht="21" x14ac:dyDescent="0.35">
      <c r="A64" s="6" t="s">
        <v>61</v>
      </c>
      <c r="B64" s="8">
        <v>1</v>
      </c>
      <c r="C64" s="8">
        <v>0.6</v>
      </c>
      <c r="D64" s="8">
        <v>9</v>
      </c>
      <c r="E64" s="8">
        <v>25</v>
      </c>
      <c r="F64" s="7">
        <f t="shared" si="0"/>
        <v>25000000000</v>
      </c>
      <c r="G64" s="7">
        <v>0.6</v>
      </c>
      <c r="H64" s="7">
        <v>5.6</v>
      </c>
      <c r="I64" s="7">
        <v>0</v>
      </c>
      <c r="J64" s="7">
        <v>0</v>
      </c>
      <c r="K64" s="7">
        <v>2</v>
      </c>
      <c r="L64" s="7">
        <v>2</v>
      </c>
      <c r="M64" s="7">
        <v>29</v>
      </c>
      <c r="V64" s="35">
        <v>42552</v>
      </c>
      <c r="W64" t="s">
        <v>349</v>
      </c>
      <c r="X64" t="s">
        <v>353</v>
      </c>
      <c r="Y64">
        <v>6.5</v>
      </c>
      <c r="Z64">
        <v>22.5</v>
      </c>
      <c r="AA64">
        <v>5.2</v>
      </c>
      <c r="AB64" s="1">
        <v>123000</v>
      </c>
      <c r="AC64">
        <v>5.4</v>
      </c>
      <c r="AD64" s="1">
        <v>58400</v>
      </c>
      <c r="AE64">
        <v>2.6</v>
      </c>
    </row>
    <row r="65" spans="1:31" x14ac:dyDescent="0.35">
      <c r="A65" s="6" t="s">
        <v>21</v>
      </c>
      <c r="B65" s="8">
        <v>2</v>
      </c>
      <c r="C65" s="8">
        <v>0.7</v>
      </c>
      <c r="D65" s="8">
        <v>12</v>
      </c>
      <c r="E65" s="8">
        <v>37</v>
      </c>
      <c r="F65" s="7">
        <f t="shared" si="0"/>
        <v>37000000000</v>
      </c>
      <c r="G65" s="7">
        <v>3.8</v>
      </c>
      <c r="H65" s="8">
        <v>37</v>
      </c>
      <c r="I65" s="7">
        <v>0</v>
      </c>
      <c r="J65" s="7">
        <v>0</v>
      </c>
      <c r="K65" s="7">
        <v>6</v>
      </c>
      <c r="L65" s="7">
        <v>189</v>
      </c>
      <c r="M65" s="7">
        <v>2428</v>
      </c>
      <c r="V65" s="35">
        <v>42552</v>
      </c>
      <c r="W65" t="s">
        <v>349</v>
      </c>
      <c r="X65" t="s">
        <v>498</v>
      </c>
      <c r="Y65">
        <v>6.8</v>
      </c>
      <c r="Z65">
        <v>17.7</v>
      </c>
      <c r="AA65">
        <v>4.8</v>
      </c>
      <c r="AB65" s="1">
        <v>122000</v>
      </c>
      <c r="AC65">
        <v>5.4</v>
      </c>
      <c r="AD65" s="1">
        <v>58100</v>
      </c>
      <c r="AE65">
        <v>2.6</v>
      </c>
    </row>
    <row r="66" spans="1:31" x14ac:dyDescent="0.35">
      <c r="A66" s="6" t="s">
        <v>57</v>
      </c>
      <c r="B66" s="7">
        <v>1.1000000000000001</v>
      </c>
      <c r="C66" s="8">
        <v>0.3</v>
      </c>
      <c r="D66" s="8">
        <v>4</v>
      </c>
      <c r="E66" s="7">
        <v>9.4</v>
      </c>
      <c r="F66" s="7">
        <f t="shared" si="0"/>
        <v>9400000000</v>
      </c>
      <c r="G66" s="7">
        <v>4.7</v>
      </c>
      <c r="H66" s="8">
        <v>42</v>
      </c>
      <c r="I66" s="7">
        <v>0</v>
      </c>
      <c r="J66" s="7">
        <v>1</v>
      </c>
      <c r="K66" s="7">
        <v>6</v>
      </c>
      <c r="L66" s="7">
        <v>27</v>
      </c>
      <c r="M66" s="7">
        <v>238</v>
      </c>
      <c r="V66" s="35">
        <v>42826</v>
      </c>
      <c r="W66" t="s">
        <v>345</v>
      </c>
      <c r="X66" t="s">
        <v>346</v>
      </c>
      <c r="Y66">
        <v>17.100000000000001</v>
      </c>
      <c r="Z66">
        <v>54.2</v>
      </c>
      <c r="AA66">
        <v>17.100000000000001</v>
      </c>
      <c r="AB66" s="1">
        <v>338000</v>
      </c>
      <c r="AC66">
        <v>14.9</v>
      </c>
      <c r="AD66" s="1">
        <v>142000</v>
      </c>
      <c r="AE66">
        <v>6.3</v>
      </c>
    </row>
    <row r="67" spans="1:31" x14ac:dyDescent="0.35">
      <c r="A67" s="6" t="s">
        <v>56</v>
      </c>
      <c r="B67" s="7">
        <v>0.9</v>
      </c>
      <c r="C67" s="8">
        <v>0.3</v>
      </c>
      <c r="D67" s="8">
        <v>3</v>
      </c>
      <c r="E67" s="8">
        <v>29</v>
      </c>
      <c r="F67" s="7">
        <f t="shared" si="0"/>
        <v>29000000000</v>
      </c>
      <c r="G67" s="7">
        <v>3.2</v>
      </c>
      <c r="H67" s="8">
        <v>27</v>
      </c>
      <c r="I67" s="7">
        <v>1</v>
      </c>
      <c r="J67" s="7">
        <v>2</v>
      </c>
      <c r="K67" s="7">
        <v>5</v>
      </c>
      <c r="L67" s="7">
        <v>7</v>
      </c>
      <c r="M67" s="7">
        <v>88</v>
      </c>
      <c r="V67" s="35">
        <v>42826</v>
      </c>
      <c r="W67" t="s">
        <v>345</v>
      </c>
      <c r="X67" t="s">
        <v>347</v>
      </c>
      <c r="Y67">
        <v>42.6</v>
      </c>
      <c r="Z67">
        <v>125</v>
      </c>
      <c r="AA67">
        <v>40</v>
      </c>
      <c r="AB67" s="1">
        <v>945000</v>
      </c>
      <c r="AC67">
        <v>41.6</v>
      </c>
      <c r="AD67" s="1">
        <v>471000</v>
      </c>
      <c r="AE67">
        <v>20.7</v>
      </c>
    </row>
    <row r="68" spans="1:31" x14ac:dyDescent="0.35">
      <c r="A68" s="6" t="s">
        <v>38</v>
      </c>
      <c r="B68" s="7">
        <v>2.1</v>
      </c>
      <c r="C68" s="8">
        <v>1.4</v>
      </c>
      <c r="D68" s="8">
        <v>18</v>
      </c>
      <c r="E68" s="8">
        <v>41</v>
      </c>
      <c r="F68" s="7">
        <f t="shared" si="0"/>
        <v>41000000000</v>
      </c>
      <c r="G68" s="7">
        <v>1.2</v>
      </c>
      <c r="H68" s="8">
        <v>11</v>
      </c>
      <c r="I68" s="7">
        <v>0</v>
      </c>
      <c r="J68" s="7">
        <v>0</v>
      </c>
      <c r="K68" s="7">
        <v>3</v>
      </c>
      <c r="L68" s="7">
        <v>13</v>
      </c>
      <c r="M68" s="7">
        <v>197</v>
      </c>
      <c r="V68" s="35">
        <v>42826</v>
      </c>
      <c r="W68" t="s">
        <v>345</v>
      </c>
      <c r="X68" t="s">
        <v>348</v>
      </c>
      <c r="Y68">
        <v>27.8</v>
      </c>
      <c r="Z68">
        <v>111.9</v>
      </c>
      <c r="AA68">
        <v>18.3</v>
      </c>
      <c r="AB68" s="1">
        <v>1120000</v>
      </c>
      <c r="AC68">
        <v>49.4</v>
      </c>
      <c r="AD68" s="1">
        <v>418000</v>
      </c>
      <c r="AE68">
        <v>18.399999999999999</v>
      </c>
    </row>
    <row r="69" spans="1:31" x14ac:dyDescent="0.35">
      <c r="A69" s="6" t="s">
        <v>65</v>
      </c>
      <c r="B69" s="7">
        <v>0.4</v>
      </c>
      <c r="C69" s="8">
        <v>0.1</v>
      </c>
      <c r="D69" s="8">
        <v>2</v>
      </c>
      <c r="E69" s="7">
        <v>5.8</v>
      </c>
      <c r="F69" s="7">
        <f t="shared" si="0"/>
        <v>5800000000</v>
      </c>
      <c r="G69" s="7">
        <v>3.8</v>
      </c>
      <c r="H69" s="8">
        <v>37</v>
      </c>
      <c r="I69" s="7">
        <v>1</v>
      </c>
      <c r="J69" s="7">
        <v>4</v>
      </c>
      <c r="K69" s="7">
        <v>5</v>
      </c>
      <c r="L69" s="7">
        <v>16</v>
      </c>
      <c r="M69" s="7">
        <v>144</v>
      </c>
      <c r="V69" s="35">
        <v>42826</v>
      </c>
      <c r="W69" t="s">
        <v>345</v>
      </c>
      <c r="X69" t="s">
        <v>498</v>
      </c>
      <c r="Y69">
        <v>25</v>
      </c>
      <c r="Z69">
        <v>81.2</v>
      </c>
      <c r="AA69">
        <v>22</v>
      </c>
      <c r="AB69" s="1">
        <v>591000</v>
      </c>
      <c r="AC69">
        <v>26</v>
      </c>
      <c r="AD69" s="1">
        <v>269000</v>
      </c>
      <c r="AE69">
        <v>11.8</v>
      </c>
    </row>
    <row r="70" spans="1:31" x14ac:dyDescent="0.35">
      <c r="A70" s="6" t="s">
        <v>60</v>
      </c>
      <c r="B70" s="7">
        <v>2.7</v>
      </c>
      <c r="C70" s="8">
        <v>0.4</v>
      </c>
      <c r="D70" s="7">
        <v>4.2</v>
      </c>
      <c r="E70" s="7">
        <v>35.5</v>
      </c>
      <c r="F70" s="7">
        <f t="shared" si="0"/>
        <v>35500000000</v>
      </c>
      <c r="G70" s="7">
        <v>2.5</v>
      </c>
      <c r="H70" s="8">
        <v>25</v>
      </c>
      <c r="I70" s="7">
        <v>0</v>
      </c>
      <c r="J70" s="7">
        <v>0</v>
      </c>
      <c r="K70" s="7">
        <v>5</v>
      </c>
      <c r="L70" s="7">
        <v>4</v>
      </c>
      <c r="M70" s="7">
        <v>50</v>
      </c>
      <c r="V70" s="35">
        <v>42826</v>
      </c>
      <c r="W70" t="s">
        <v>341</v>
      </c>
      <c r="X70" t="s">
        <v>342</v>
      </c>
      <c r="Y70">
        <v>51.7</v>
      </c>
      <c r="Z70">
        <v>174.5</v>
      </c>
      <c r="AA70">
        <v>74.900000000000006</v>
      </c>
      <c r="AB70" s="1">
        <v>937000</v>
      </c>
      <c r="AC70">
        <v>41.2</v>
      </c>
      <c r="AD70" s="1">
        <v>245000</v>
      </c>
      <c r="AE70">
        <v>10.8</v>
      </c>
    </row>
    <row r="71" spans="1:31" x14ac:dyDescent="0.35">
      <c r="A71" s="6" t="s">
        <v>37</v>
      </c>
      <c r="B71" s="7">
        <v>3.2</v>
      </c>
      <c r="C71" s="8">
        <v>0.9</v>
      </c>
      <c r="D71" s="8">
        <v>18</v>
      </c>
      <c r="E71" s="7">
        <v>38.9</v>
      </c>
      <c r="F71" s="7">
        <f t="shared" si="0"/>
        <v>38900000000</v>
      </c>
      <c r="G71" s="7">
        <v>1.2</v>
      </c>
      <c r="H71" s="8">
        <v>11</v>
      </c>
      <c r="I71" s="7">
        <v>0</v>
      </c>
      <c r="J71" s="7">
        <v>1</v>
      </c>
      <c r="K71" s="7">
        <v>5</v>
      </c>
      <c r="L71" s="7">
        <v>20</v>
      </c>
      <c r="M71" s="7">
        <v>212</v>
      </c>
      <c r="V71" s="35">
        <v>42826</v>
      </c>
      <c r="W71" t="s">
        <v>341</v>
      </c>
      <c r="X71" t="s">
        <v>343</v>
      </c>
      <c r="Y71">
        <v>4.3</v>
      </c>
      <c r="Z71">
        <v>11.1</v>
      </c>
      <c r="AA71">
        <v>1</v>
      </c>
      <c r="AB71" s="1">
        <v>83500</v>
      </c>
      <c r="AC71">
        <v>3.7</v>
      </c>
      <c r="AD71" s="1">
        <v>34800</v>
      </c>
      <c r="AE71">
        <v>1.5</v>
      </c>
    </row>
    <row r="72" spans="1:31" x14ac:dyDescent="0.35">
      <c r="A72" s="6" t="s">
        <v>40</v>
      </c>
      <c r="B72" s="7">
        <v>0.8</v>
      </c>
      <c r="C72" s="8">
        <v>0.2</v>
      </c>
      <c r="D72" s="8">
        <v>4</v>
      </c>
      <c r="E72" s="7">
        <v>12.3</v>
      </c>
      <c r="F72" s="7">
        <f t="shared" si="0"/>
        <v>12300000000</v>
      </c>
      <c r="G72" s="7">
        <v>3.9</v>
      </c>
      <c r="H72" s="8">
        <v>38</v>
      </c>
      <c r="I72" s="7">
        <v>0</v>
      </c>
      <c r="J72" s="7">
        <v>0</v>
      </c>
      <c r="K72" s="7">
        <v>5</v>
      </c>
      <c r="L72" s="7">
        <v>38</v>
      </c>
      <c r="M72" s="7">
        <v>408</v>
      </c>
      <c r="V72" s="35">
        <v>42826</v>
      </c>
      <c r="W72" t="s">
        <v>341</v>
      </c>
      <c r="X72" t="s">
        <v>344</v>
      </c>
      <c r="Y72">
        <v>13.7</v>
      </c>
      <c r="Z72">
        <v>67.099999999999994</v>
      </c>
      <c r="AA72">
        <v>24</v>
      </c>
      <c r="AB72" s="1">
        <v>577000</v>
      </c>
      <c r="AC72">
        <v>25.4</v>
      </c>
      <c r="AD72" s="1">
        <v>171000</v>
      </c>
      <c r="AE72">
        <v>7.5</v>
      </c>
    </row>
    <row r="73" spans="1:31" x14ac:dyDescent="0.35">
      <c r="A73" s="6" t="s">
        <v>25</v>
      </c>
      <c r="B73" s="7">
        <v>2.4</v>
      </c>
      <c r="C73" s="8">
        <v>1.5</v>
      </c>
      <c r="D73" s="8">
        <v>18</v>
      </c>
      <c r="E73" s="8">
        <v>56</v>
      </c>
      <c r="F73" s="7">
        <f t="shared" si="0"/>
        <v>56000000000</v>
      </c>
      <c r="G73" s="7">
        <v>0.3</v>
      </c>
      <c r="H73" s="7">
        <v>2.4</v>
      </c>
      <c r="I73" s="7">
        <v>0</v>
      </c>
      <c r="J73" s="7">
        <v>0</v>
      </c>
      <c r="K73" s="7">
        <v>3</v>
      </c>
      <c r="L73" s="7">
        <v>31</v>
      </c>
      <c r="M73" s="7">
        <v>665</v>
      </c>
      <c r="V73" s="35">
        <v>42826</v>
      </c>
      <c r="W73" t="s">
        <v>341</v>
      </c>
      <c r="X73" t="s">
        <v>498</v>
      </c>
      <c r="Y73">
        <v>30</v>
      </c>
      <c r="Z73">
        <v>97.4</v>
      </c>
      <c r="AA73">
        <v>37.799999999999997</v>
      </c>
      <c r="AB73" s="1">
        <v>495000</v>
      </c>
      <c r="AC73">
        <v>21.8</v>
      </c>
      <c r="AD73" s="1">
        <v>189000</v>
      </c>
      <c r="AE73">
        <v>8.3000000000000007</v>
      </c>
    </row>
    <row r="74" spans="1:31" x14ac:dyDescent="0.35">
      <c r="A74" s="6" t="s">
        <v>71</v>
      </c>
      <c r="B74" s="7">
        <v>2.2000000000000002</v>
      </c>
      <c r="C74" s="8">
        <v>0.4</v>
      </c>
      <c r="D74" s="7">
        <v>4.5</v>
      </c>
      <c r="E74" s="7">
        <v>9.1999999999999993</v>
      </c>
      <c r="F74" s="7">
        <f t="shared" si="0"/>
        <v>9200000000</v>
      </c>
      <c r="G74" s="7">
        <v>2.7</v>
      </c>
      <c r="H74" s="8">
        <v>22</v>
      </c>
      <c r="I74" s="7">
        <v>0</v>
      </c>
      <c r="J74" s="7">
        <v>0</v>
      </c>
      <c r="K74" s="7">
        <v>5</v>
      </c>
      <c r="L74" s="7">
        <v>4</v>
      </c>
      <c r="M74" s="7">
        <v>24</v>
      </c>
      <c r="V74" s="35">
        <v>42826</v>
      </c>
      <c r="W74" t="s">
        <v>349</v>
      </c>
      <c r="X74" t="s">
        <v>350</v>
      </c>
      <c r="Y74">
        <v>58</v>
      </c>
      <c r="Z74">
        <v>77</v>
      </c>
      <c r="AA74">
        <v>19.100000000000001</v>
      </c>
      <c r="AB74" s="1">
        <v>410000</v>
      </c>
      <c r="AC74">
        <v>18</v>
      </c>
      <c r="AD74" s="1">
        <v>204000</v>
      </c>
      <c r="AE74">
        <v>9</v>
      </c>
    </row>
    <row r="75" spans="1:31" x14ac:dyDescent="0.35">
      <c r="A75" s="6" t="s">
        <v>58</v>
      </c>
      <c r="B75" s="7">
        <v>0.8</v>
      </c>
      <c r="C75" s="8">
        <v>0.4</v>
      </c>
      <c r="D75" s="7">
        <v>4.2</v>
      </c>
      <c r="E75" s="7">
        <v>15.4</v>
      </c>
      <c r="F75" s="7">
        <f t="shared" si="0"/>
        <v>15400000000</v>
      </c>
      <c r="G75" s="7">
        <v>2.2999999999999998</v>
      </c>
      <c r="H75" s="8">
        <v>21</v>
      </c>
      <c r="I75" s="7">
        <v>2</v>
      </c>
      <c r="J75" s="7">
        <v>9</v>
      </c>
      <c r="K75" s="7">
        <v>5</v>
      </c>
      <c r="L75" s="7">
        <v>15</v>
      </c>
      <c r="M75" s="7">
        <v>126</v>
      </c>
      <c r="V75" s="35">
        <v>42826</v>
      </c>
      <c r="W75" t="s">
        <v>349</v>
      </c>
      <c r="X75" t="s">
        <v>351</v>
      </c>
      <c r="Y75">
        <v>17.7</v>
      </c>
      <c r="Z75">
        <v>27.3</v>
      </c>
      <c r="AA75">
        <v>11.9</v>
      </c>
      <c r="AB75" s="1">
        <v>255000</v>
      </c>
      <c r="AC75">
        <v>11.2</v>
      </c>
      <c r="AD75" s="1">
        <v>106000</v>
      </c>
      <c r="AE75">
        <v>4.5999999999999996</v>
      </c>
    </row>
    <row r="76" spans="1:31" x14ac:dyDescent="0.35">
      <c r="A76" s="6" t="s">
        <v>69</v>
      </c>
      <c r="B76" s="7">
        <v>0.1</v>
      </c>
      <c r="C76" s="9">
        <v>0.06</v>
      </c>
      <c r="D76" s="7">
        <v>0.5</v>
      </c>
      <c r="E76" s="8">
        <v>1</v>
      </c>
      <c r="F76" s="7">
        <f t="shared" si="0"/>
        <v>1000000000</v>
      </c>
      <c r="G76" s="7">
        <v>2.6</v>
      </c>
      <c r="H76" s="8">
        <v>17</v>
      </c>
      <c r="I76" s="7">
        <v>0</v>
      </c>
      <c r="J76" s="7">
        <v>0</v>
      </c>
      <c r="K76" s="7">
        <v>3</v>
      </c>
      <c r="L76" s="7">
        <v>34</v>
      </c>
      <c r="M76" s="7">
        <v>226</v>
      </c>
      <c r="V76" s="35">
        <v>42826</v>
      </c>
      <c r="W76" t="s">
        <v>349</v>
      </c>
      <c r="X76" t="s">
        <v>352</v>
      </c>
      <c r="Y76">
        <v>15.3</v>
      </c>
      <c r="Z76">
        <v>21.4</v>
      </c>
      <c r="AA76">
        <v>9.3000000000000007</v>
      </c>
      <c r="AB76" s="1">
        <v>218000</v>
      </c>
      <c r="AC76">
        <v>9.6</v>
      </c>
      <c r="AD76" s="1">
        <v>81500</v>
      </c>
      <c r="AE76">
        <v>3.6</v>
      </c>
    </row>
    <row r="77" spans="1:31" x14ac:dyDescent="0.35">
      <c r="A77" s="6" t="s">
        <v>36</v>
      </c>
      <c r="B77" s="7">
        <v>0.4</v>
      </c>
      <c r="C77" s="8">
        <v>0.1</v>
      </c>
      <c r="D77" s="7">
        <v>1.1000000000000001</v>
      </c>
      <c r="E77" s="7">
        <v>2.5</v>
      </c>
      <c r="F77" s="7">
        <f t="shared" si="0"/>
        <v>2500000000</v>
      </c>
      <c r="G77" s="7">
        <v>4.0999999999999996</v>
      </c>
      <c r="H77" s="8">
        <v>41</v>
      </c>
      <c r="I77" s="7">
        <v>0</v>
      </c>
      <c r="J77" s="7">
        <v>0</v>
      </c>
      <c r="K77" s="7">
        <v>4</v>
      </c>
      <c r="L77" s="7">
        <v>338</v>
      </c>
      <c r="M77" s="7">
        <v>3265</v>
      </c>
      <c r="V77" s="35">
        <v>42826</v>
      </c>
      <c r="W77" t="s">
        <v>349</v>
      </c>
      <c r="X77" t="s">
        <v>353</v>
      </c>
      <c r="Y77">
        <v>21.4</v>
      </c>
      <c r="Z77">
        <v>33.799999999999997</v>
      </c>
      <c r="AA77">
        <v>11.6</v>
      </c>
      <c r="AB77" s="1">
        <v>255000</v>
      </c>
      <c r="AC77">
        <v>11.2</v>
      </c>
      <c r="AD77" s="1">
        <v>115000</v>
      </c>
      <c r="AE77">
        <v>5.0999999999999996</v>
      </c>
    </row>
    <row r="78" spans="1:31" x14ac:dyDescent="0.35">
      <c r="A78" s="6" t="s">
        <v>41</v>
      </c>
      <c r="B78" s="7">
        <v>1.4</v>
      </c>
      <c r="C78" s="8">
        <v>0.7</v>
      </c>
      <c r="D78" s="8">
        <v>8</v>
      </c>
      <c r="E78" s="7">
        <v>42.4</v>
      </c>
      <c r="F78" s="7">
        <f t="shared" si="0"/>
        <v>42400000000</v>
      </c>
      <c r="G78" s="7">
        <v>1.1000000000000001</v>
      </c>
      <c r="H78" s="7">
        <v>9.5</v>
      </c>
      <c r="I78" s="7">
        <v>0</v>
      </c>
      <c r="J78" s="7">
        <v>0</v>
      </c>
      <c r="K78" s="7">
        <v>3</v>
      </c>
      <c r="L78" s="7">
        <v>6</v>
      </c>
      <c r="M78" s="7">
        <v>118</v>
      </c>
      <c r="V78" s="35">
        <v>42826</v>
      </c>
      <c r="W78" t="s">
        <v>349</v>
      </c>
      <c r="X78" t="s">
        <v>498</v>
      </c>
      <c r="Y78">
        <v>21.6</v>
      </c>
      <c r="Z78">
        <v>34.4</v>
      </c>
      <c r="AA78">
        <v>9.4</v>
      </c>
      <c r="AB78" s="1">
        <v>253000</v>
      </c>
      <c r="AC78">
        <v>11.1</v>
      </c>
      <c r="AD78" s="1">
        <v>113000</v>
      </c>
      <c r="AE78">
        <v>5</v>
      </c>
    </row>
    <row r="79" spans="1:31" ht="21.5" thickBot="1" x14ac:dyDescent="0.4">
      <c r="A79" s="10" t="s">
        <v>176</v>
      </c>
      <c r="B79" s="11">
        <v>550</v>
      </c>
      <c r="C79" s="11">
        <v>200</v>
      </c>
      <c r="D79" s="12">
        <v>2500</v>
      </c>
      <c r="E79" s="12">
        <v>8700</v>
      </c>
      <c r="F79" s="7">
        <f t="shared" si="0"/>
        <v>8700000000000</v>
      </c>
      <c r="G79" s="12">
        <v>1290</v>
      </c>
      <c r="H79" s="11" t="s">
        <v>177</v>
      </c>
      <c r="I79" s="4">
        <v>290</v>
      </c>
      <c r="J79" s="4">
        <v>900</v>
      </c>
      <c r="K79" s="4">
        <v>2131</v>
      </c>
      <c r="L79" s="4">
        <v>24</v>
      </c>
      <c r="M79" s="4">
        <v>246</v>
      </c>
    </row>
    <row r="83" spans="1:49" ht="15" thickBot="1" x14ac:dyDescent="0.4">
      <c r="A83" t="s">
        <v>336</v>
      </c>
    </row>
    <row r="84" spans="1:49" ht="38" customHeight="1" x14ac:dyDescent="0.35">
      <c r="A84" s="47" t="s">
        <v>337</v>
      </c>
      <c r="B84" s="47"/>
      <c r="C84" s="47"/>
      <c r="D84" s="47"/>
      <c r="E84" s="47" t="s">
        <v>338</v>
      </c>
      <c r="F84" s="47" t="s">
        <v>339</v>
      </c>
    </row>
    <row r="85" spans="1:49" ht="51" customHeight="1" x14ac:dyDescent="0.35">
      <c r="A85" s="27" t="s">
        <v>355</v>
      </c>
      <c r="B85" s="27" t="s">
        <v>354</v>
      </c>
      <c r="C85" s="27" t="s">
        <v>357</v>
      </c>
      <c r="D85" s="27" t="s">
        <v>356</v>
      </c>
      <c r="E85" s="48"/>
      <c r="F85" s="48"/>
      <c r="V85" s="54" t="s">
        <v>500</v>
      </c>
    </row>
    <row r="86" spans="1:49" ht="15" thickBot="1" x14ac:dyDescent="0.4">
      <c r="A86" s="23"/>
      <c r="B86" s="23"/>
      <c r="C86" s="23" t="s">
        <v>358</v>
      </c>
      <c r="D86" s="24" t="s">
        <v>340</v>
      </c>
      <c r="E86" s="24" t="s">
        <v>340</v>
      </c>
      <c r="F86" s="24" t="s">
        <v>340</v>
      </c>
      <c r="V86" t="s">
        <v>616</v>
      </c>
      <c r="W86" t="s">
        <v>459</v>
      </c>
      <c r="X86" t="s">
        <v>570</v>
      </c>
      <c r="Y86" t="s">
        <v>571</v>
      </c>
      <c r="Z86" t="s">
        <v>617</v>
      </c>
      <c r="AA86" t="s">
        <v>618</v>
      </c>
      <c r="AB86" t="s">
        <v>619</v>
      </c>
      <c r="AC86" t="s">
        <v>620</v>
      </c>
      <c r="AD86" t="s">
        <v>621</v>
      </c>
      <c r="AE86" t="s">
        <v>622</v>
      </c>
      <c r="AF86" t="s">
        <v>623</v>
      </c>
      <c r="AG86" t="s">
        <v>624</v>
      </c>
      <c r="AH86" t="s">
        <v>625</v>
      </c>
      <c r="AI86" t="s">
        <v>626</v>
      </c>
      <c r="AJ86" t="s">
        <v>627</v>
      </c>
      <c r="AK86" t="s">
        <v>628</v>
      </c>
      <c r="AL86" t="s">
        <v>629</v>
      </c>
      <c r="AM86" t="s">
        <v>630</v>
      </c>
      <c r="AN86" t="s">
        <v>631</v>
      </c>
      <c r="AO86" t="s">
        <v>632</v>
      </c>
      <c r="AP86" t="s">
        <v>633</v>
      </c>
      <c r="AQ86" t="s">
        <v>634</v>
      </c>
      <c r="AR86" t="s">
        <v>635</v>
      </c>
      <c r="AS86" t="s">
        <v>636</v>
      </c>
      <c r="AT86" t="s">
        <v>637</v>
      </c>
      <c r="AU86" t="s">
        <v>638</v>
      </c>
      <c r="AV86" t="s">
        <v>639</v>
      </c>
    </row>
    <row r="87" spans="1:49" x14ac:dyDescent="0.35">
      <c r="A87" s="25" t="s">
        <v>341</v>
      </c>
      <c r="B87" s="25" t="s">
        <v>342</v>
      </c>
      <c r="C87" s="25">
        <v>2.9</v>
      </c>
      <c r="D87" s="25">
        <v>843</v>
      </c>
      <c r="E87" s="25">
        <v>370</v>
      </c>
      <c r="F87" s="25">
        <v>1287</v>
      </c>
      <c r="V87" s="54" t="s">
        <v>640</v>
      </c>
      <c r="W87" t="s">
        <v>501</v>
      </c>
      <c r="X87" t="s">
        <v>502</v>
      </c>
      <c r="Y87" t="s">
        <v>503</v>
      </c>
      <c r="Z87">
        <v>4000</v>
      </c>
      <c r="AA87">
        <v>0.02</v>
      </c>
      <c r="AD87" t="s">
        <v>504</v>
      </c>
      <c r="AE87">
        <v>841</v>
      </c>
      <c r="AF87">
        <v>511</v>
      </c>
      <c r="AG87">
        <v>130</v>
      </c>
      <c r="AH87">
        <v>5.7</v>
      </c>
      <c r="AI87">
        <v>830</v>
      </c>
      <c r="AJ87">
        <v>278</v>
      </c>
      <c r="AK87">
        <v>590</v>
      </c>
      <c r="AL87">
        <v>73</v>
      </c>
      <c r="AM87">
        <v>314</v>
      </c>
      <c r="AN87">
        <v>690</v>
      </c>
      <c r="AO87">
        <v>47.9</v>
      </c>
      <c r="AP87">
        <v>192</v>
      </c>
      <c r="AQ87">
        <v>98</v>
      </c>
      <c r="AR87">
        <v>393</v>
      </c>
      <c r="AS87">
        <v>0.95</v>
      </c>
      <c r="AT87">
        <v>138</v>
      </c>
      <c r="AU87">
        <v>552</v>
      </c>
      <c r="AV87">
        <v>1112</v>
      </c>
      <c r="AW87">
        <f>AV87*10^3</f>
        <v>1112000</v>
      </c>
    </row>
    <row r="88" spans="1:49" x14ac:dyDescent="0.35">
      <c r="A88" s="25" t="s">
        <v>341</v>
      </c>
      <c r="B88" s="25" t="s">
        <v>343</v>
      </c>
      <c r="C88" s="25">
        <v>14.6</v>
      </c>
      <c r="D88" s="25">
        <v>665</v>
      </c>
      <c r="E88" s="25">
        <v>100</v>
      </c>
      <c r="F88" s="25">
        <v>1287</v>
      </c>
      <c r="V88" t="s">
        <v>640</v>
      </c>
      <c r="W88" t="s">
        <v>505</v>
      </c>
      <c r="X88" t="s">
        <v>506</v>
      </c>
      <c r="Y88" t="s">
        <v>507</v>
      </c>
      <c r="Z88">
        <v>3100</v>
      </c>
      <c r="AA88">
        <v>0.02</v>
      </c>
      <c r="AB88">
        <v>1410</v>
      </c>
      <c r="AC88">
        <v>25.2</v>
      </c>
      <c r="AD88" t="s">
        <v>504</v>
      </c>
      <c r="AE88">
        <v>751</v>
      </c>
      <c r="AF88">
        <v>302</v>
      </c>
      <c r="AG88">
        <v>150</v>
      </c>
      <c r="AH88">
        <v>43</v>
      </c>
      <c r="AI88">
        <v>493</v>
      </c>
      <c r="AK88">
        <v>475</v>
      </c>
      <c r="AL88">
        <v>38</v>
      </c>
      <c r="AM88">
        <v>195</v>
      </c>
      <c r="AN88">
        <v>452</v>
      </c>
      <c r="AO88">
        <v>31.2</v>
      </c>
      <c r="AP88">
        <v>97</v>
      </c>
      <c r="AQ88">
        <v>76</v>
      </c>
      <c r="AR88">
        <v>236</v>
      </c>
      <c r="AS88">
        <v>0.69</v>
      </c>
      <c r="AT88">
        <v>97</v>
      </c>
      <c r="AU88">
        <v>301</v>
      </c>
      <c r="AW88">
        <f t="shared" ref="AW88:AW129" si="3">AV88*10^3</f>
        <v>0</v>
      </c>
    </row>
    <row r="89" spans="1:49" x14ac:dyDescent="0.35">
      <c r="A89" s="25" t="s">
        <v>341</v>
      </c>
      <c r="B89" s="25" t="s">
        <v>344</v>
      </c>
      <c r="C89" s="25">
        <v>26.5</v>
      </c>
      <c r="D89" s="25">
        <v>487</v>
      </c>
      <c r="E89" s="25">
        <v>10</v>
      </c>
      <c r="F89" s="25">
        <v>1287</v>
      </c>
      <c r="V89" t="s">
        <v>640</v>
      </c>
      <c r="W89" t="s">
        <v>508</v>
      </c>
      <c r="X89" t="s">
        <v>509</v>
      </c>
      <c r="Y89" t="s">
        <v>510</v>
      </c>
      <c r="Z89">
        <v>1700</v>
      </c>
      <c r="AD89">
        <v>7.65</v>
      </c>
      <c r="AE89">
        <v>557</v>
      </c>
      <c r="AF89">
        <v>313</v>
      </c>
      <c r="AG89">
        <v>300</v>
      </c>
      <c r="AH89">
        <v>72</v>
      </c>
      <c r="AI89">
        <v>75</v>
      </c>
      <c r="AJ89">
        <v>688</v>
      </c>
      <c r="AK89">
        <v>436</v>
      </c>
      <c r="AL89">
        <v>33</v>
      </c>
      <c r="AM89">
        <v>148</v>
      </c>
      <c r="AN89">
        <v>269</v>
      </c>
      <c r="AO89">
        <v>18.3</v>
      </c>
      <c r="AP89">
        <v>31</v>
      </c>
      <c r="AQ89">
        <v>52</v>
      </c>
      <c r="AR89">
        <v>88</v>
      </c>
      <c r="AS89">
        <v>0.55000000000000004</v>
      </c>
      <c r="AT89">
        <v>54</v>
      </c>
      <c r="AU89">
        <v>92</v>
      </c>
      <c r="AV89">
        <v>1170</v>
      </c>
      <c r="AW89">
        <f t="shared" si="3"/>
        <v>1170000</v>
      </c>
    </row>
    <row r="90" spans="1:49" x14ac:dyDescent="0.35">
      <c r="A90" s="25" t="s">
        <v>345</v>
      </c>
      <c r="B90" s="25" t="s">
        <v>346</v>
      </c>
      <c r="C90" s="25">
        <v>11.7</v>
      </c>
      <c r="D90" s="25">
        <v>741</v>
      </c>
      <c r="E90" s="25">
        <v>171</v>
      </c>
      <c r="F90" s="25">
        <v>1287</v>
      </c>
      <c r="V90" t="s">
        <v>640</v>
      </c>
      <c r="W90" t="s">
        <v>511</v>
      </c>
      <c r="X90" t="s">
        <v>512</v>
      </c>
      <c r="Y90" t="s">
        <v>513</v>
      </c>
      <c r="Z90">
        <v>6000</v>
      </c>
      <c r="AA90">
        <v>0.03</v>
      </c>
      <c r="AB90">
        <v>1220</v>
      </c>
      <c r="AC90">
        <v>9.6</v>
      </c>
      <c r="AD90">
        <v>7.46</v>
      </c>
      <c r="AE90">
        <v>621</v>
      </c>
      <c r="AF90">
        <v>465</v>
      </c>
      <c r="AG90">
        <v>130</v>
      </c>
      <c r="AH90">
        <v>28</v>
      </c>
      <c r="AI90">
        <v>804</v>
      </c>
      <c r="AJ90">
        <v>256</v>
      </c>
      <c r="AK90">
        <v>500</v>
      </c>
      <c r="AL90">
        <v>58</v>
      </c>
      <c r="AM90">
        <v>302</v>
      </c>
      <c r="AN90">
        <v>588</v>
      </c>
      <c r="AO90">
        <v>40.9</v>
      </c>
      <c r="AP90">
        <v>224</v>
      </c>
      <c r="AQ90">
        <v>78</v>
      </c>
      <c r="AR90">
        <v>427</v>
      </c>
      <c r="AS90">
        <v>1.1100000000000001</v>
      </c>
      <c r="AT90">
        <v>116</v>
      </c>
      <c r="AU90">
        <v>631</v>
      </c>
      <c r="AV90">
        <v>1386</v>
      </c>
      <c r="AW90">
        <f t="shared" si="3"/>
        <v>1386000</v>
      </c>
    </row>
    <row r="91" spans="1:49" x14ac:dyDescent="0.35">
      <c r="A91" s="25" t="s">
        <v>345</v>
      </c>
      <c r="B91" s="25" t="s">
        <v>347</v>
      </c>
      <c r="C91" s="25">
        <v>4.7</v>
      </c>
      <c r="D91" s="25">
        <v>677</v>
      </c>
      <c r="E91" s="25">
        <v>139</v>
      </c>
      <c r="F91" s="25">
        <v>1145</v>
      </c>
      <c r="V91" t="s">
        <v>640</v>
      </c>
      <c r="W91" t="s">
        <v>514</v>
      </c>
      <c r="X91" t="s">
        <v>515</v>
      </c>
      <c r="Y91" t="s">
        <v>516</v>
      </c>
      <c r="Z91">
        <v>1910</v>
      </c>
      <c r="AA91">
        <v>0.63</v>
      </c>
      <c r="AB91">
        <v>1065</v>
      </c>
      <c r="AC91">
        <v>6.88</v>
      </c>
      <c r="AD91">
        <v>7.5</v>
      </c>
      <c r="AE91">
        <v>244</v>
      </c>
      <c r="AF91">
        <v>245</v>
      </c>
      <c r="AG91">
        <v>200</v>
      </c>
      <c r="AH91">
        <v>37</v>
      </c>
      <c r="AI91">
        <v>35</v>
      </c>
      <c r="AJ91">
        <v>383</v>
      </c>
      <c r="AK91">
        <v>279</v>
      </c>
      <c r="AL91">
        <v>54</v>
      </c>
      <c r="AM91">
        <v>77</v>
      </c>
      <c r="AN91">
        <v>127</v>
      </c>
      <c r="AO91">
        <v>10.7</v>
      </c>
      <c r="AP91">
        <v>20</v>
      </c>
      <c r="AQ91">
        <v>25</v>
      </c>
      <c r="AR91">
        <v>48</v>
      </c>
      <c r="AS91">
        <v>0.73</v>
      </c>
      <c r="AT91">
        <v>28</v>
      </c>
      <c r="AU91">
        <v>53</v>
      </c>
      <c r="AV91">
        <v>732</v>
      </c>
      <c r="AW91">
        <f t="shared" si="3"/>
        <v>732000</v>
      </c>
    </row>
    <row r="92" spans="1:49" x14ac:dyDescent="0.35">
      <c r="A92" s="25" t="s">
        <v>345</v>
      </c>
      <c r="B92" s="25" t="s">
        <v>348</v>
      </c>
      <c r="C92" s="25">
        <v>20</v>
      </c>
      <c r="D92" s="25">
        <v>632</v>
      </c>
      <c r="E92" s="25">
        <v>20</v>
      </c>
      <c r="F92" s="25">
        <v>1287</v>
      </c>
      <c r="V92" t="s">
        <v>640</v>
      </c>
      <c r="W92" t="s">
        <v>517</v>
      </c>
      <c r="X92" t="s">
        <v>518</v>
      </c>
      <c r="Y92" t="s">
        <v>519</v>
      </c>
      <c r="Z92">
        <v>4800</v>
      </c>
      <c r="AA92">
        <v>0.55000000000000004</v>
      </c>
      <c r="AB92">
        <v>1060</v>
      </c>
      <c r="AC92">
        <v>19.32</v>
      </c>
      <c r="AD92">
        <v>7.35</v>
      </c>
      <c r="AE92">
        <v>489</v>
      </c>
      <c r="AF92">
        <v>200</v>
      </c>
      <c r="AG92">
        <v>130</v>
      </c>
      <c r="AH92">
        <v>5.5</v>
      </c>
      <c r="AI92">
        <v>96</v>
      </c>
      <c r="AJ92">
        <v>368</v>
      </c>
      <c r="AK92">
        <v>271</v>
      </c>
      <c r="AL92">
        <v>14</v>
      </c>
      <c r="AM92">
        <v>73</v>
      </c>
      <c r="AN92">
        <v>151</v>
      </c>
      <c r="AO92">
        <v>11.4</v>
      </c>
      <c r="AP92">
        <v>55</v>
      </c>
      <c r="AQ92">
        <v>41</v>
      </c>
      <c r="AR92">
        <v>195</v>
      </c>
      <c r="AS92">
        <v>0.39</v>
      </c>
      <c r="AT92">
        <v>46</v>
      </c>
      <c r="AU92">
        <v>221</v>
      </c>
      <c r="AV92">
        <v>1768</v>
      </c>
      <c r="AW92">
        <f t="shared" si="3"/>
        <v>1768000</v>
      </c>
    </row>
    <row r="93" spans="1:49" x14ac:dyDescent="0.35">
      <c r="A93" s="25" t="s">
        <v>349</v>
      </c>
      <c r="B93" s="25" t="s">
        <v>350</v>
      </c>
      <c r="C93" s="25">
        <v>0.2</v>
      </c>
      <c r="D93" s="25">
        <v>1137</v>
      </c>
      <c r="E93" s="25">
        <v>1081</v>
      </c>
      <c r="F93" s="25">
        <v>1198</v>
      </c>
      <c r="V93" t="s">
        <v>640</v>
      </c>
      <c r="W93" t="s">
        <v>520</v>
      </c>
      <c r="X93" t="s">
        <v>521</v>
      </c>
      <c r="Y93" t="s">
        <v>522</v>
      </c>
      <c r="Z93">
        <v>1575</v>
      </c>
      <c r="AA93">
        <v>0.8</v>
      </c>
      <c r="AB93">
        <v>980</v>
      </c>
      <c r="AC93">
        <v>11.94</v>
      </c>
      <c r="AD93">
        <v>7.78</v>
      </c>
      <c r="AE93">
        <v>543</v>
      </c>
      <c r="AF93">
        <v>276</v>
      </c>
      <c r="AG93">
        <v>220</v>
      </c>
      <c r="AH93">
        <v>8.8000000000000007</v>
      </c>
      <c r="AI93">
        <v>65</v>
      </c>
      <c r="AJ93">
        <v>733</v>
      </c>
      <c r="AK93">
        <v>441</v>
      </c>
      <c r="AL93">
        <v>25</v>
      </c>
      <c r="AM93">
        <v>95</v>
      </c>
      <c r="AN93">
        <v>265</v>
      </c>
      <c r="AO93">
        <v>18.600000000000001</v>
      </c>
      <c r="AP93">
        <v>29</v>
      </c>
      <c r="AQ93">
        <v>51</v>
      </c>
      <c r="AR93">
        <v>80.5</v>
      </c>
      <c r="AS93">
        <v>0.56999999999999995</v>
      </c>
      <c r="AT93">
        <v>54</v>
      </c>
      <c r="AU93">
        <v>86</v>
      </c>
      <c r="AV93">
        <v>1156</v>
      </c>
      <c r="AW93">
        <f t="shared" si="3"/>
        <v>1156000</v>
      </c>
    </row>
    <row r="94" spans="1:49" x14ac:dyDescent="0.35">
      <c r="A94" s="25" t="s">
        <v>349</v>
      </c>
      <c r="B94" s="25" t="s">
        <v>351</v>
      </c>
      <c r="C94" s="25">
        <v>10.7</v>
      </c>
      <c r="D94" s="25">
        <v>939</v>
      </c>
      <c r="E94" s="25">
        <v>730</v>
      </c>
      <c r="F94" s="25">
        <v>1287</v>
      </c>
      <c r="V94" t="s">
        <v>640</v>
      </c>
      <c r="W94" t="s">
        <v>523</v>
      </c>
      <c r="X94" t="s">
        <v>524</v>
      </c>
      <c r="Y94" t="s">
        <v>525</v>
      </c>
      <c r="Z94">
        <v>1860</v>
      </c>
      <c r="AA94">
        <v>1.46</v>
      </c>
      <c r="AB94">
        <v>1004</v>
      </c>
      <c r="AC94">
        <v>8.2799999999999994</v>
      </c>
      <c r="AD94">
        <v>7.85</v>
      </c>
      <c r="AE94">
        <v>500</v>
      </c>
      <c r="AF94">
        <v>346</v>
      </c>
      <c r="AG94">
        <v>250</v>
      </c>
      <c r="AH94">
        <v>6.3</v>
      </c>
      <c r="AI94">
        <v>93</v>
      </c>
      <c r="AJ94">
        <v>758</v>
      </c>
      <c r="AK94">
        <v>538</v>
      </c>
      <c r="AL94">
        <v>34</v>
      </c>
      <c r="AM94">
        <v>141</v>
      </c>
      <c r="AN94">
        <v>252</v>
      </c>
      <c r="AO94">
        <v>21</v>
      </c>
      <c r="AP94">
        <v>39</v>
      </c>
      <c r="AQ94">
        <v>51</v>
      </c>
      <c r="AR94">
        <v>95</v>
      </c>
      <c r="AS94">
        <v>0.73</v>
      </c>
      <c r="AT94">
        <v>57</v>
      </c>
      <c r="AU94">
        <v>106</v>
      </c>
      <c r="AV94">
        <v>1410</v>
      </c>
      <c r="AW94">
        <f t="shared" si="3"/>
        <v>1410000</v>
      </c>
    </row>
    <row r="95" spans="1:49" x14ac:dyDescent="0.35">
      <c r="A95" s="25" t="s">
        <v>349</v>
      </c>
      <c r="B95" s="25" t="s">
        <v>352</v>
      </c>
      <c r="C95" s="25">
        <v>14.6</v>
      </c>
      <c r="D95" s="25">
        <v>915</v>
      </c>
      <c r="E95" s="25">
        <v>610</v>
      </c>
      <c r="F95" s="25">
        <v>1181</v>
      </c>
      <c r="V95" t="s">
        <v>640</v>
      </c>
      <c r="W95" t="s">
        <v>526</v>
      </c>
      <c r="X95" t="s">
        <v>527</v>
      </c>
      <c r="Y95" t="s">
        <v>528</v>
      </c>
      <c r="Z95">
        <v>2000</v>
      </c>
      <c r="AA95">
        <v>1.6</v>
      </c>
      <c r="AB95">
        <v>428</v>
      </c>
      <c r="AD95">
        <v>4.8600000000000003</v>
      </c>
      <c r="AE95">
        <v>626</v>
      </c>
      <c r="AF95">
        <v>488</v>
      </c>
      <c r="AG95">
        <v>250</v>
      </c>
      <c r="AH95">
        <v>7.1</v>
      </c>
      <c r="AI95">
        <v>1032</v>
      </c>
      <c r="AJ95">
        <v>7</v>
      </c>
      <c r="AK95">
        <v>613</v>
      </c>
      <c r="AL95">
        <v>39</v>
      </c>
      <c r="AM95">
        <v>292</v>
      </c>
      <c r="AN95">
        <v>593</v>
      </c>
      <c r="AO95">
        <v>39.9</v>
      </c>
      <c r="AP95">
        <v>80</v>
      </c>
      <c r="AQ95">
        <v>78</v>
      </c>
      <c r="AR95">
        <v>155</v>
      </c>
      <c r="AS95">
        <v>1.06</v>
      </c>
      <c r="AT95">
        <v>119</v>
      </c>
      <c r="AU95">
        <v>237</v>
      </c>
      <c r="AV95">
        <v>14</v>
      </c>
      <c r="AW95">
        <f t="shared" si="3"/>
        <v>14000</v>
      </c>
    </row>
    <row r="96" spans="1:49" ht="15" thickBot="1" x14ac:dyDescent="0.4">
      <c r="A96" s="26" t="s">
        <v>349</v>
      </c>
      <c r="B96" s="26" t="s">
        <v>353</v>
      </c>
      <c r="C96" s="26">
        <v>39.6</v>
      </c>
      <c r="D96" s="26">
        <v>919</v>
      </c>
      <c r="E96" s="26">
        <v>540</v>
      </c>
      <c r="F96" s="26">
        <v>1287</v>
      </c>
      <c r="V96" t="s">
        <v>640</v>
      </c>
      <c r="W96" t="s">
        <v>529</v>
      </c>
      <c r="X96" t="s">
        <v>530</v>
      </c>
      <c r="Y96" t="s">
        <v>531</v>
      </c>
      <c r="Z96">
        <v>1600</v>
      </c>
      <c r="AA96">
        <v>1.7</v>
      </c>
      <c r="AB96">
        <v>590</v>
      </c>
      <c r="AD96" t="s">
        <v>504</v>
      </c>
      <c r="AE96">
        <v>519</v>
      </c>
      <c r="AF96">
        <v>447</v>
      </c>
      <c r="AG96">
        <v>350</v>
      </c>
      <c r="AH96">
        <v>4.2</v>
      </c>
      <c r="AI96">
        <v>72</v>
      </c>
      <c r="AJ96">
        <v>1048</v>
      </c>
      <c r="AK96">
        <v>559</v>
      </c>
      <c r="AL96">
        <v>29</v>
      </c>
      <c r="AM96">
        <v>211</v>
      </c>
      <c r="AN96">
        <v>333</v>
      </c>
      <c r="AO96">
        <v>23.8</v>
      </c>
      <c r="AP96">
        <v>38</v>
      </c>
      <c r="AQ96">
        <v>55</v>
      </c>
      <c r="AR96">
        <v>88</v>
      </c>
      <c r="AS96">
        <v>0.76</v>
      </c>
      <c r="AT96">
        <v>61</v>
      </c>
      <c r="AU96">
        <v>96</v>
      </c>
      <c r="AV96">
        <v>1677</v>
      </c>
      <c r="AW96">
        <f t="shared" si="3"/>
        <v>1677000</v>
      </c>
    </row>
    <row r="97" spans="1:49" x14ac:dyDescent="0.35">
      <c r="V97" t="s">
        <v>640</v>
      </c>
      <c r="W97" t="s">
        <v>532</v>
      </c>
      <c r="X97" t="s">
        <v>533</v>
      </c>
      <c r="Y97" t="s">
        <v>534</v>
      </c>
      <c r="Z97">
        <v>1500</v>
      </c>
      <c r="AA97">
        <v>1.7</v>
      </c>
      <c r="AB97">
        <v>622</v>
      </c>
      <c r="AD97" t="s">
        <v>504</v>
      </c>
      <c r="AE97">
        <v>604</v>
      </c>
      <c r="AF97">
        <v>415</v>
      </c>
      <c r="AG97">
        <v>350</v>
      </c>
      <c r="AI97">
        <v>470</v>
      </c>
      <c r="AJ97">
        <v>402</v>
      </c>
      <c r="AK97">
        <v>529</v>
      </c>
      <c r="AL97">
        <v>27</v>
      </c>
      <c r="AM97">
        <v>246</v>
      </c>
      <c r="AN97">
        <v>431</v>
      </c>
      <c r="AO97">
        <v>27.7</v>
      </c>
      <c r="AP97">
        <v>42</v>
      </c>
      <c r="AQ97">
        <v>64</v>
      </c>
      <c r="AR97">
        <v>96</v>
      </c>
      <c r="AS97">
        <v>0.76</v>
      </c>
      <c r="AT97">
        <v>81</v>
      </c>
      <c r="AU97">
        <v>121</v>
      </c>
      <c r="AV97">
        <v>603</v>
      </c>
      <c r="AW97">
        <f t="shared" si="3"/>
        <v>603000</v>
      </c>
    </row>
    <row r="98" spans="1:49" x14ac:dyDescent="0.35">
      <c r="V98" t="s">
        <v>640</v>
      </c>
      <c r="W98" t="s">
        <v>535</v>
      </c>
      <c r="X98" t="s">
        <v>536</v>
      </c>
      <c r="Y98" t="s">
        <v>537</v>
      </c>
      <c r="Z98">
        <v>1100</v>
      </c>
      <c r="AA98">
        <v>1.6</v>
      </c>
      <c r="AB98">
        <v>720</v>
      </c>
      <c r="AD98">
        <v>7.55</v>
      </c>
      <c r="AE98">
        <v>538</v>
      </c>
      <c r="AF98">
        <v>632</v>
      </c>
      <c r="AG98">
        <v>500</v>
      </c>
      <c r="AH98">
        <v>10.5</v>
      </c>
      <c r="AI98">
        <v>504</v>
      </c>
      <c r="AJ98">
        <v>303</v>
      </c>
      <c r="AK98">
        <v>743</v>
      </c>
      <c r="AL98">
        <v>47</v>
      </c>
      <c r="AM98">
        <v>247</v>
      </c>
      <c r="AN98">
        <v>343</v>
      </c>
      <c r="AO98">
        <v>26.5</v>
      </c>
      <c r="AP98">
        <v>29</v>
      </c>
      <c r="AQ98">
        <v>59</v>
      </c>
      <c r="AR98">
        <v>65</v>
      </c>
      <c r="AS98">
        <v>0.82</v>
      </c>
      <c r="AT98">
        <v>79</v>
      </c>
      <c r="AU98">
        <v>87</v>
      </c>
      <c r="AV98">
        <v>333</v>
      </c>
      <c r="AW98">
        <f t="shared" si="3"/>
        <v>333000</v>
      </c>
    </row>
    <row r="99" spans="1:49" ht="38" x14ac:dyDescent="0.35">
      <c r="A99" s="28" t="s">
        <v>359</v>
      </c>
      <c r="B99" s="30" t="s">
        <v>361</v>
      </c>
      <c r="C99" s="32" t="s">
        <v>363</v>
      </c>
      <c r="D99" s="34" t="s">
        <v>364</v>
      </c>
      <c r="E99" s="28" t="s">
        <v>366</v>
      </c>
      <c r="F99" s="34" t="s">
        <v>367</v>
      </c>
      <c r="G99" s="28" t="s">
        <v>368</v>
      </c>
      <c r="V99" t="s">
        <v>640</v>
      </c>
      <c r="W99" t="s">
        <v>538</v>
      </c>
      <c r="X99" t="s">
        <v>539</v>
      </c>
      <c r="Y99" t="s">
        <v>540</v>
      </c>
      <c r="Z99">
        <v>1000</v>
      </c>
      <c r="AA99">
        <v>1.6</v>
      </c>
      <c r="AB99">
        <v>465</v>
      </c>
      <c r="AC99">
        <v>2.4</v>
      </c>
      <c r="AD99">
        <v>7.59</v>
      </c>
      <c r="AE99">
        <v>551</v>
      </c>
      <c r="AF99">
        <v>595</v>
      </c>
      <c r="AG99">
        <v>500</v>
      </c>
      <c r="AH99">
        <v>8.1</v>
      </c>
      <c r="AI99">
        <v>121</v>
      </c>
      <c r="AJ99">
        <v>328</v>
      </c>
      <c r="AK99">
        <v>665</v>
      </c>
      <c r="AL99">
        <v>47</v>
      </c>
      <c r="AM99">
        <v>125</v>
      </c>
      <c r="AN99">
        <v>119</v>
      </c>
      <c r="AO99">
        <v>13.1</v>
      </c>
      <c r="AP99">
        <v>13</v>
      </c>
      <c r="AQ99">
        <v>46</v>
      </c>
      <c r="AR99">
        <v>46</v>
      </c>
      <c r="AS99">
        <v>0.39</v>
      </c>
      <c r="AT99">
        <v>53</v>
      </c>
      <c r="AU99">
        <v>53</v>
      </c>
      <c r="AV99">
        <v>329</v>
      </c>
      <c r="AW99">
        <f t="shared" si="3"/>
        <v>329000</v>
      </c>
    </row>
    <row r="100" spans="1:49" ht="85.5" thickBot="1" x14ac:dyDescent="0.4">
      <c r="A100" s="29" t="s">
        <v>360</v>
      </c>
      <c r="B100" s="31" t="s">
        <v>362</v>
      </c>
      <c r="C100" s="33" t="s">
        <v>362</v>
      </c>
      <c r="D100" s="33" t="s">
        <v>365</v>
      </c>
      <c r="E100" s="33" t="s">
        <v>362</v>
      </c>
      <c r="F100" s="33" t="s">
        <v>365</v>
      </c>
      <c r="G100" s="33" t="s">
        <v>362</v>
      </c>
      <c r="V100" t="s">
        <v>640</v>
      </c>
      <c r="W100" t="s">
        <v>541</v>
      </c>
      <c r="X100" t="s">
        <v>542</v>
      </c>
      <c r="Y100" t="s">
        <v>543</v>
      </c>
      <c r="Z100">
        <v>1200</v>
      </c>
      <c r="AA100">
        <v>1.65</v>
      </c>
      <c r="AB100">
        <v>706</v>
      </c>
      <c r="AD100">
        <v>7.76</v>
      </c>
      <c r="AE100">
        <v>594</v>
      </c>
      <c r="AF100">
        <v>600</v>
      </c>
      <c r="AG100">
        <v>500</v>
      </c>
      <c r="AH100">
        <v>15</v>
      </c>
      <c r="AI100">
        <v>169</v>
      </c>
      <c r="AJ100">
        <v>599</v>
      </c>
      <c r="AK100">
        <v>721</v>
      </c>
      <c r="AL100">
        <v>54</v>
      </c>
      <c r="AM100">
        <v>193</v>
      </c>
      <c r="AN100">
        <v>232</v>
      </c>
      <c r="AO100">
        <v>20.6</v>
      </c>
      <c r="AP100">
        <v>25</v>
      </c>
      <c r="AQ100">
        <v>56</v>
      </c>
      <c r="AR100">
        <v>68</v>
      </c>
      <c r="AS100">
        <v>0.56999999999999995</v>
      </c>
      <c r="AT100">
        <v>64</v>
      </c>
      <c r="AU100">
        <v>77</v>
      </c>
      <c r="AV100">
        <v>719</v>
      </c>
      <c r="AW100">
        <f t="shared" si="3"/>
        <v>719000</v>
      </c>
    </row>
    <row r="101" spans="1:49" x14ac:dyDescent="0.35">
      <c r="A101" s="45">
        <v>42552</v>
      </c>
      <c r="B101" s="45"/>
      <c r="C101" s="45"/>
      <c r="D101" s="45"/>
      <c r="E101" s="45"/>
      <c r="F101" s="45"/>
      <c r="G101" s="45"/>
      <c r="V101" t="s">
        <v>640</v>
      </c>
      <c r="W101" t="s">
        <v>544</v>
      </c>
      <c r="X101" t="s">
        <v>545</v>
      </c>
      <c r="Y101" t="s">
        <v>546</v>
      </c>
      <c r="Z101">
        <v>1040</v>
      </c>
      <c r="AA101">
        <v>1.72</v>
      </c>
      <c r="AB101">
        <v>683</v>
      </c>
      <c r="AC101">
        <v>4.7300000000000004</v>
      </c>
      <c r="AD101">
        <v>7.34</v>
      </c>
      <c r="AE101">
        <v>614</v>
      </c>
      <c r="AF101">
        <v>596</v>
      </c>
      <c r="AG101">
        <v>500</v>
      </c>
      <c r="AH101">
        <v>3.3</v>
      </c>
      <c r="AI101">
        <v>191</v>
      </c>
      <c r="AJ101">
        <v>523</v>
      </c>
      <c r="AK101">
        <v>721</v>
      </c>
      <c r="AL101">
        <v>56</v>
      </c>
      <c r="AM101">
        <v>176</v>
      </c>
      <c r="AN101">
        <v>226</v>
      </c>
      <c r="AO101">
        <v>20.100000000000001</v>
      </c>
      <c r="AP101">
        <v>21</v>
      </c>
      <c r="AQ101">
        <v>57</v>
      </c>
      <c r="AR101">
        <v>59</v>
      </c>
      <c r="AS101">
        <v>0.54</v>
      </c>
      <c r="AT101">
        <v>66</v>
      </c>
      <c r="AU101">
        <v>68</v>
      </c>
      <c r="AV101">
        <v>544</v>
      </c>
      <c r="AW101">
        <f t="shared" si="3"/>
        <v>544000</v>
      </c>
    </row>
    <row r="102" spans="1:49" x14ac:dyDescent="0.35">
      <c r="A102" s="46" t="s">
        <v>345</v>
      </c>
      <c r="B102" s="46"/>
      <c r="C102" s="46"/>
      <c r="D102" s="46"/>
      <c r="E102" s="46"/>
      <c r="F102" s="46"/>
      <c r="G102" s="46"/>
      <c r="M102" s="35">
        <v>42552</v>
      </c>
      <c r="V102" t="s">
        <v>640</v>
      </c>
      <c r="W102" t="s">
        <v>547</v>
      </c>
      <c r="X102" t="s">
        <v>548</v>
      </c>
      <c r="Y102" t="s">
        <v>549</v>
      </c>
      <c r="Z102">
        <v>900</v>
      </c>
      <c r="AA102">
        <v>2.8</v>
      </c>
      <c r="AB102">
        <v>540</v>
      </c>
      <c r="AD102">
        <v>6.99</v>
      </c>
      <c r="AE102">
        <v>574</v>
      </c>
      <c r="AF102">
        <v>593</v>
      </c>
      <c r="AG102">
        <v>593</v>
      </c>
      <c r="AH102">
        <v>7.9</v>
      </c>
      <c r="AI102">
        <v>29</v>
      </c>
      <c r="AJ102">
        <v>436</v>
      </c>
      <c r="AK102">
        <v>633</v>
      </c>
      <c r="AL102">
        <v>44</v>
      </c>
      <c r="AM102">
        <v>125</v>
      </c>
      <c r="AN102">
        <v>99</v>
      </c>
      <c r="AO102">
        <v>9.1999999999999993</v>
      </c>
      <c r="AP102">
        <v>8.3000000000000007</v>
      </c>
      <c r="AQ102">
        <v>44</v>
      </c>
      <c r="AR102">
        <v>39</v>
      </c>
      <c r="AS102">
        <v>0.27</v>
      </c>
      <c r="AT102">
        <v>46</v>
      </c>
      <c r="AU102">
        <v>42</v>
      </c>
      <c r="AV102">
        <v>393</v>
      </c>
      <c r="AW102">
        <f t="shared" si="3"/>
        <v>393000</v>
      </c>
    </row>
    <row r="103" spans="1:49" ht="24" x14ac:dyDescent="0.35">
      <c r="A103" s="36" t="s">
        <v>369</v>
      </c>
      <c r="B103" s="37">
        <v>8.1</v>
      </c>
      <c r="C103" s="37">
        <v>2.9</v>
      </c>
      <c r="D103" s="38" t="s">
        <v>370</v>
      </c>
      <c r="E103" s="37">
        <v>2.6</v>
      </c>
      <c r="F103" s="38" t="s">
        <v>371</v>
      </c>
      <c r="G103" s="37">
        <v>1</v>
      </c>
      <c r="L103" t="s">
        <v>357</v>
      </c>
      <c r="M103" t="s">
        <v>444</v>
      </c>
      <c r="V103" t="s">
        <v>640</v>
      </c>
      <c r="W103" t="s">
        <v>550</v>
      </c>
      <c r="X103" t="s">
        <v>551</v>
      </c>
      <c r="Y103" t="s">
        <v>552</v>
      </c>
      <c r="Z103">
        <v>850</v>
      </c>
      <c r="AA103">
        <v>2.6</v>
      </c>
      <c r="AB103">
        <v>560</v>
      </c>
      <c r="AC103">
        <v>5.17</v>
      </c>
      <c r="AD103" t="s">
        <v>504</v>
      </c>
      <c r="AE103">
        <v>615</v>
      </c>
      <c r="AF103">
        <v>584</v>
      </c>
      <c r="AG103">
        <v>584</v>
      </c>
      <c r="AH103">
        <v>1.9</v>
      </c>
      <c r="AI103">
        <v>48</v>
      </c>
      <c r="AJ103">
        <v>426</v>
      </c>
      <c r="AK103">
        <v>650</v>
      </c>
      <c r="AL103">
        <v>32</v>
      </c>
      <c r="AM103">
        <v>134</v>
      </c>
      <c r="AN103">
        <v>126</v>
      </c>
      <c r="AO103">
        <v>10.6</v>
      </c>
      <c r="AP103">
        <v>9</v>
      </c>
      <c r="AQ103">
        <v>48</v>
      </c>
      <c r="AR103">
        <v>40</v>
      </c>
      <c r="AS103">
        <v>0.28999999999999998</v>
      </c>
      <c r="AT103">
        <v>48</v>
      </c>
      <c r="AU103">
        <v>41</v>
      </c>
      <c r="AV103">
        <v>362</v>
      </c>
      <c r="AW103">
        <f t="shared" si="3"/>
        <v>362000</v>
      </c>
    </row>
    <row r="104" spans="1:49" ht="24" x14ac:dyDescent="0.35">
      <c r="A104" s="36" t="s">
        <v>372</v>
      </c>
      <c r="B104" s="37">
        <v>66</v>
      </c>
      <c r="C104" s="37">
        <v>19.5</v>
      </c>
      <c r="D104" s="38" t="s">
        <v>373</v>
      </c>
      <c r="E104" s="37">
        <v>24</v>
      </c>
      <c r="F104" s="38" t="s">
        <v>374</v>
      </c>
      <c r="G104" s="37">
        <v>12</v>
      </c>
      <c r="K104" s="25" t="s">
        <v>341</v>
      </c>
      <c r="L104">
        <f>SUM(C87:C89)</f>
        <v>44</v>
      </c>
      <c r="M104">
        <f>1.19*10^5</f>
        <v>119000</v>
      </c>
      <c r="N104" s="1"/>
      <c r="V104" t="s">
        <v>640</v>
      </c>
      <c r="W104" t="s">
        <v>553</v>
      </c>
      <c r="X104" t="s">
        <v>554</v>
      </c>
      <c r="Y104" t="s">
        <v>555</v>
      </c>
      <c r="Z104">
        <v>4933</v>
      </c>
      <c r="AA104">
        <v>0.42</v>
      </c>
      <c r="AB104">
        <v>1251</v>
      </c>
      <c r="AC104">
        <v>19.329999999999998</v>
      </c>
      <c r="AD104">
        <v>7.49</v>
      </c>
      <c r="AE104">
        <v>426</v>
      </c>
      <c r="AF104">
        <v>205</v>
      </c>
      <c r="AG104">
        <v>200</v>
      </c>
      <c r="AH104">
        <v>46</v>
      </c>
      <c r="AI104">
        <v>25</v>
      </c>
      <c r="AJ104">
        <v>401</v>
      </c>
      <c r="AK104">
        <v>262</v>
      </c>
      <c r="AL104">
        <v>16</v>
      </c>
      <c r="AM104">
        <v>78</v>
      </c>
      <c r="AN104">
        <v>153</v>
      </c>
      <c r="AO104">
        <v>9.8000000000000007</v>
      </c>
      <c r="AP104">
        <v>48</v>
      </c>
      <c r="AQ104">
        <v>35</v>
      </c>
      <c r="AR104">
        <v>174</v>
      </c>
      <c r="AS104">
        <v>0.39</v>
      </c>
      <c r="AT104">
        <v>36</v>
      </c>
      <c r="AU104">
        <v>178</v>
      </c>
      <c r="AV104">
        <v>1977</v>
      </c>
      <c r="AW104">
        <f t="shared" si="3"/>
        <v>1977000</v>
      </c>
    </row>
    <row r="105" spans="1:49" ht="24" x14ac:dyDescent="0.35">
      <c r="A105" s="36" t="s">
        <v>375</v>
      </c>
      <c r="B105" s="37">
        <v>79.900000000000006</v>
      </c>
      <c r="C105" s="37">
        <v>30.3</v>
      </c>
      <c r="D105" s="38" t="s">
        <v>376</v>
      </c>
      <c r="E105" s="37">
        <v>25.7</v>
      </c>
      <c r="F105" s="38" t="s">
        <v>377</v>
      </c>
      <c r="G105" s="37">
        <v>10.1</v>
      </c>
      <c r="K105" s="25" t="s">
        <v>345</v>
      </c>
      <c r="L105">
        <f>SUM(C90:C92)</f>
        <v>36.4</v>
      </c>
      <c r="M105" s="1">
        <v>108000</v>
      </c>
      <c r="V105" t="s">
        <v>640</v>
      </c>
      <c r="W105" t="s">
        <v>556</v>
      </c>
      <c r="X105" t="s">
        <v>557</v>
      </c>
      <c r="Y105" t="s">
        <v>558</v>
      </c>
      <c r="Z105">
        <v>5200</v>
      </c>
      <c r="AA105">
        <v>0.42</v>
      </c>
      <c r="AB105">
        <v>1132</v>
      </c>
      <c r="AC105">
        <v>16.559999999999999</v>
      </c>
      <c r="AD105">
        <v>8.0500000000000007</v>
      </c>
      <c r="AE105">
        <v>436</v>
      </c>
      <c r="AF105">
        <v>186</v>
      </c>
      <c r="AG105">
        <v>156</v>
      </c>
      <c r="AH105">
        <v>38</v>
      </c>
      <c r="AI105">
        <v>26</v>
      </c>
      <c r="AJ105">
        <v>409</v>
      </c>
      <c r="AK105">
        <v>236</v>
      </c>
      <c r="AL105">
        <v>15</v>
      </c>
      <c r="AM105">
        <v>60</v>
      </c>
      <c r="AN105">
        <v>124</v>
      </c>
      <c r="AO105">
        <v>8.6</v>
      </c>
      <c r="AP105">
        <v>45</v>
      </c>
      <c r="AQ105">
        <v>35</v>
      </c>
      <c r="AR105">
        <v>181</v>
      </c>
      <c r="AS105">
        <v>0.33</v>
      </c>
      <c r="AT105">
        <v>36</v>
      </c>
      <c r="AU105">
        <v>189</v>
      </c>
      <c r="AV105">
        <v>2129</v>
      </c>
      <c r="AW105">
        <f t="shared" si="3"/>
        <v>2129000</v>
      </c>
    </row>
    <row r="106" spans="1:49" ht="24" x14ac:dyDescent="0.35">
      <c r="A106" s="36" t="s">
        <v>378</v>
      </c>
      <c r="B106" s="37">
        <v>34.6</v>
      </c>
      <c r="C106" s="37">
        <v>11.8</v>
      </c>
      <c r="D106" s="38" t="s">
        <v>379</v>
      </c>
      <c r="E106" s="37">
        <v>11.8</v>
      </c>
      <c r="F106" s="38" t="s">
        <v>380</v>
      </c>
      <c r="G106" s="37">
        <v>5.2</v>
      </c>
      <c r="K106" s="25" t="s">
        <v>349</v>
      </c>
      <c r="L106">
        <f>SUM(C93:C96)</f>
        <v>65.099999999999994</v>
      </c>
      <c r="M106" s="1">
        <v>58100</v>
      </c>
      <c r="V106" t="s">
        <v>640</v>
      </c>
      <c r="W106" t="s">
        <v>559</v>
      </c>
      <c r="Z106">
        <v>4900</v>
      </c>
      <c r="AA106">
        <v>0.42</v>
      </c>
      <c r="AD106" t="s">
        <v>504</v>
      </c>
      <c r="AE106">
        <v>411</v>
      </c>
      <c r="AF106">
        <v>212</v>
      </c>
      <c r="AG106">
        <v>212</v>
      </c>
      <c r="AH106">
        <v>68</v>
      </c>
      <c r="AI106">
        <v>25</v>
      </c>
      <c r="AJ106">
        <v>452</v>
      </c>
      <c r="AK106">
        <v>254</v>
      </c>
      <c r="AL106">
        <v>31</v>
      </c>
      <c r="AM106">
        <v>90</v>
      </c>
      <c r="AN106">
        <v>195</v>
      </c>
      <c r="AO106">
        <v>11.8</v>
      </c>
      <c r="AP106">
        <v>58</v>
      </c>
      <c r="AQ106">
        <v>37</v>
      </c>
      <c r="AR106">
        <v>179</v>
      </c>
      <c r="AS106">
        <v>0.48</v>
      </c>
      <c r="AT106">
        <v>37</v>
      </c>
      <c r="AU106">
        <v>181</v>
      </c>
      <c r="AV106">
        <v>2215</v>
      </c>
      <c r="AW106">
        <f t="shared" si="3"/>
        <v>2215000</v>
      </c>
    </row>
    <row r="107" spans="1:49" x14ac:dyDescent="0.35">
      <c r="A107" s="39" t="s">
        <v>341</v>
      </c>
      <c r="B107" s="40"/>
      <c r="C107" s="40"/>
      <c r="D107" s="40"/>
      <c r="E107" s="40"/>
      <c r="F107" s="40"/>
      <c r="G107" s="40"/>
      <c r="M107" s="35">
        <v>42826</v>
      </c>
      <c r="V107" t="s">
        <v>640</v>
      </c>
      <c r="W107" t="s">
        <v>560</v>
      </c>
      <c r="X107" t="s">
        <v>561</v>
      </c>
      <c r="Y107" t="s">
        <v>562</v>
      </c>
      <c r="Z107">
        <v>4000</v>
      </c>
      <c r="AB107">
        <v>1169</v>
      </c>
      <c r="AC107">
        <v>9.33</v>
      </c>
      <c r="AD107">
        <v>7.43</v>
      </c>
      <c r="AE107">
        <v>434</v>
      </c>
      <c r="AF107">
        <v>157</v>
      </c>
      <c r="AG107">
        <v>140</v>
      </c>
      <c r="AH107">
        <v>6.7</v>
      </c>
      <c r="AI107">
        <v>45</v>
      </c>
      <c r="AJ107">
        <v>318</v>
      </c>
      <c r="AK107">
        <v>217</v>
      </c>
      <c r="AL107">
        <v>15.5</v>
      </c>
      <c r="AM107">
        <v>57</v>
      </c>
      <c r="AN107">
        <v>102</v>
      </c>
      <c r="AO107">
        <v>7.7</v>
      </c>
      <c r="AP107">
        <v>31</v>
      </c>
      <c r="AQ107">
        <v>34</v>
      </c>
      <c r="AR107">
        <v>135</v>
      </c>
      <c r="AS107">
        <v>0.3</v>
      </c>
      <c r="AT107">
        <v>36</v>
      </c>
      <c r="AU107">
        <v>142</v>
      </c>
      <c r="AV107">
        <v>1272</v>
      </c>
      <c r="AW107">
        <f t="shared" si="3"/>
        <v>1272000</v>
      </c>
    </row>
    <row r="108" spans="1:49" ht="24" x14ac:dyDescent="0.35">
      <c r="A108" s="38" t="s">
        <v>381</v>
      </c>
      <c r="B108" s="37">
        <v>61.5</v>
      </c>
      <c r="C108" s="37">
        <v>27</v>
      </c>
      <c r="D108" s="38" t="s">
        <v>382</v>
      </c>
      <c r="E108" s="37">
        <v>16.899999999999999</v>
      </c>
      <c r="F108" s="38" t="s">
        <v>383</v>
      </c>
      <c r="G108" s="37">
        <v>3.8</v>
      </c>
      <c r="L108" t="s">
        <v>357</v>
      </c>
      <c r="M108" t="s">
        <v>444</v>
      </c>
      <c r="V108" t="s">
        <v>640</v>
      </c>
      <c r="W108" t="s">
        <v>641</v>
      </c>
      <c r="X108" t="s">
        <v>642</v>
      </c>
      <c r="Y108" t="s">
        <v>563</v>
      </c>
      <c r="Z108">
        <v>4500</v>
      </c>
      <c r="AA108">
        <v>0.66</v>
      </c>
      <c r="AB108">
        <v>1079</v>
      </c>
      <c r="AC108">
        <v>7.55</v>
      </c>
      <c r="AD108">
        <v>7.37</v>
      </c>
      <c r="AE108">
        <v>299</v>
      </c>
      <c r="AF108">
        <v>150</v>
      </c>
      <c r="AG108">
        <v>150</v>
      </c>
      <c r="AH108">
        <v>4.8</v>
      </c>
      <c r="AI108">
        <v>11</v>
      </c>
      <c r="AJ108">
        <v>278</v>
      </c>
      <c r="AK108">
        <v>188</v>
      </c>
      <c r="AL108">
        <v>7.7</v>
      </c>
      <c r="AM108">
        <v>43</v>
      </c>
      <c r="AN108">
        <v>85</v>
      </c>
      <c r="AO108">
        <v>5.4</v>
      </c>
      <c r="AP108">
        <v>24.5</v>
      </c>
      <c r="AQ108">
        <v>23</v>
      </c>
      <c r="AR108">
        <v>105</v>
      </c>
      <c r="AS108">
        <v>0.3</v>
      </c>
      <c r="AT108">
        <v>24</v>
      </c>
      <c r="AU108">
        <v>106</v>
      </c>
      <c r="AV108">
        <v>1251</v>
      </c>
      <c r="AW108">
        <f t="shared" si="3"/>
        <v>1251000</v>
      </c>
    </row>
    <row r="109" spans="1:49" ht="24" x14ac:dyDescent="0.35">
      <c r="A109" s="36" t="s">
        <v>384</v>
      </c>
      <c r="B109" s="37">
        <v>15.1</v>
      </c>
      <c r="C109" s="37">
        <v>5.5</v>
      </c>
      <c r="D109" s="38" t="s">
        <v>385</v>
      </c>
      <c r="E109" s="37">
        <v>4.2</v>
      </c>
      <c r="F109" s="38" t="s">
        <v>386</v>
      </c>
      <c r="G109" s="37">
        <v>1.6</v>
      </c>
      <c r="K109" t="s">
        <v>341</v>
      </c>
      <c r="L109">
        <v>44</v>
      </c>
      <c r="M109" s="1">
        <v>269000</v>
      </c>
      <c r="V109" t="s">
        <v>640</v>
      </c>
      <c r="W109" t="s">
        <v>643</v>
      </c>
      <c r="X109" t="s">
        <v>644</v>
      </c>
      <c r="Y109" t="s">
        <v>564</v>
      </c>
      <c r="Z109">
        <v>2825</v>
      </c>
      <c r="AA109">
        <v>0.7</v>
      </c>
      <c r="AD109">
        <v>7.53</v>
      </c>
      <c r="AE109">
        <v>292</v>
      </c>
      <c r="AF109">
        <v>205</v>
      </c>
      <c r="AG109">
        <v>205</v>
      </c>
      <c r="AH109">
        <v>8</v>
      </c>
      <c r="AI109">
        <v>13</v>
      </c>
      <c r="AJ109">
        <v>459</v>
      </c>
      <c r="AK109">
        <v>251</v>
      </c>
      <c r="AL109">
        <v>43</v>
      </c>
      <c r="AM109">
        <v>58</v>
      </c>
      <c r="AN109">
        <v>159</v>
      </c>
      <c r="AO109">
        <v>10.199999999999999</v>
      </c>
      <c r="AP109">
        <v>29</v>
      </c>
      <c r="AQ109">
        <v>28</v>
      </c>
      <c r="AR109">
        <v>79</v>
      </c>
      <c r="AS109">
        <v>0.7</v>
      </c>
      <c r="AT109">
        <v>28</v>
      </c>
      <c r="AU109">
        <v>79</v>
      </c>
      <c r="AV109">
        <v>1298</v>
      </c>
      <c r="AW109">
        <f t="shared" si="3"/>
        <v>1298000</v>
      </c>
    </row>
    <row r="110" spans="1:49" ht="24" x14ac:dyDescent="0.35">
      <c r="A110" s="36" t="s">
        <v>387</v>
      </c>
      <c r="B110" s="37">
        <v>82.8</v>
      </c>
      <c r="C110" s="37">
        <v>31.3</v>
      </c>
      <c r="D110" s="38" t="s">
        <v>388</v>
      </c>
      <c r="E110" s="37">
        <v>23.5</v>
      </c>
      <c r="F110" s="38" t="s">
        <v>389</v>
      </c>
      <c r="G110" s="37">
        <v>8.1</v>
      </c>
      <c r="K110" t="s">
        <v>345</v>
      </c>
      <c r="L110">
        <v>36.4</v>
      </c>
      <c r="M110" s="1">
        <v>115000</v>
      </c>
      <c r="V110" t="s">
        <v>640</v>
      </c>
      <c r="W110" t="s">
        <v>645</v>
      </c>
      <c r="X110" t="s">
        <v>646</v>
      </c>
      <c r="Y110" t="s">
        <v>565</v>
      </c>
      <c r="Z110">
        <v>3750</v>
      </c>
      <c r="AA110">
        <v>0.8</v>
      </c>
      <c r="AB110">
        <v>749</v>
      </c>
      <c r="AC110">
        <v>8.3699999999999992</v>
      </c>
      <c r="AD110">
        <v>7.04</v>
      </c>
      <c r="AE110">
        <v>310</v>
      </c>
      <c r="AF110">
        <v>174</v>
      </c>
      <c r="AG110">
        <v>174</v>
      </c>
      <c r="AI110">
        <v>13</v>
      </c>
      <c r="AJ110">
        <v>375</v>
      </c>
      <c r="AK110">
        <v>254</v>
      </c>
      <c r="AL110">
        <v>18</v>
      </c>
      <c r="AM110">
        <v>57</v>
      </c>
      <c r="AN110">
        <v>112</v>
      </c>
      <c r="AO110">
        <v>8.1999999999999993</v>
      </c>
      <c r="AP110">
        <v>31</v>
      </c>
      <c r="AQ110">
        <v>27</v>
      </c>
      <c r="AR110">
        <v>101</v>
      </c>
      <c r="AS110">
        <v>0.44</v>
      </c>
      <c r="AT110">
        <v>27</v>
      </c>
      <c r="AU110">
        <v>101</v>
      </c>
      <c r="AV110">
        <v>1408</v>
      </c>
      <c r="AW110">
        <f t="shared" si="3"/>
        <v>1408000</v>
      </c>
    </row>
    <row r="111" spans="1:49" ht="24" x14ac:dyDescent="0.35">
      <c r="A111" s="36" t="s">
        <v>378</v>
      </c>
      <c r="B111" s="37">
        <v>48.6</v>
      </c>
      <c r="C111" s="37">
        <v>18.899999999999999</v>
      </c>
      <c r="D111" s="38" t="s">
        <v>390</v>
      </c>
      <c r="E111" s="37">
        <v>14.3</v>
      </c>
      <c r="F111" s="38" t="s">
        <v>391</v>
      </c>
      <c r="G111" s="37">
        <v>4.8</v>
      </c>
      <c r="K111" t="s">
        <v>349</v>
      </c>
      <c r="L111">
        <v>65.099999999999994</v>
      </c>
      <c r="M111" s="1">
        <v>80300</v>
      </c>
      <c r="V111" t="s">
        <v>640</v>
      </c>
      <c r="W111" t="s">
        <v>647</v>
      </c>
      <c r="X111" t="s">
        <v>648</v>
      </c>
      <c r="Y111" t="s">
        <v>566</v>
      </c>
      <c r="Z111">
        <v>3000</v>
      </c>
      <c r="AA111">
        <v>0.9</v>
      </c>
      <c r="AB111">
        <v>972</v>
      </c>
      <c r="AC111">
        <v>11</v>
      </c>
      <c r="AD111">
        <v>7.3</v>
      </c>
      <c r="AE111">
        <v>397</v>
      </c>
      <c r="AF111">
        <v>238</v>
      </c>
      <c r="AG111">
        <v>238</v>
      </c>
      <c r="AI111">
        <v>24</v>
      </c>
      <c r="AJ111">
        <v>370</v>
      </c>
      <c r="AK111">
        <v>298</v>
      </c>
      <c r="AL111">
        <v>16</v>
      </c>
      <c r="AM111">
        <v>68</v>
      </c>
      <c r="AN111">
        <v>109</v>
      </c>
      <c r="AO111">
        <v>7.8</v>
      </c>
      <c r="AP111">
        <v>23</v>
      </c>
      <c r="AQ111">
        <v>32</v>
      </c>
      <c r="AR111">
        <v>92</v>
      </c>
      <c r="AS111">
        <v>0.32</v>
      </c>
      <c r="AT111">
        <v>32</v>
      </c>
      <c r="AU111">
        <v>93</v>
      </c>
      <c r="AV111">
        <v>1078</v>
      </c>
      <c r="AW111">
        <f t="shared" si="3"/>
        <v>1078000</v>
      </c>
    </row>
    <row r="112" spans="1:49" x14ac:dyDescent="0.35">
      <c r="A112" s="39" t="s">
        <v>349</v>
      </c>
      <c r="B112" s="40"/>
      <c r="C112" s="40"/>
      <c r="D112" s="40"/>
      <c r="E112" s="40"/>
      <c r="F112" s="40"/>
      <c r="G112" s="40"/>
      <c r="V112" t="s">
        <v>640</v>
      </c>
      <c r="W112" t="s">
        <v>649</v>
      </c>
      <c r="X112" t="s">
        <v>650</v>
      </c>
      <c r="Y112" t="s">
        <v>567</v>
      </c>
      <c r="Z112">
        <v>2950</v>
      </c>
      <c r="AA112">
        <v>0.9</v>
      </c>
      <c r="AD112">
        <v>7.73</v>
      </c>
      <c r="AE112">
        <v>324</v>
      </c>
      <c r="AF112">
        <v>189</v>
      </c>
      <c r="AG112">
        <v>189</v>
      </c>
      <c r="AH112">
        <v>9.1999999999999993</v>
      </c>
      <c r="AI112">
        <v>16</v>
      </c>
      <c r="AJ112">
        <v>331</v>
      </c>
      <c r="AK112">
        <v>247</v>
      </c>
      <c r="AL112">
        <v>10</v>
      </c>
      <c r="AM112">
        <v>56</v>
      </c>
      <c r="AN112">
        <v>101</v>
      </c>
      <c r="AO112">
        <v>6.9</v>
      </c>
      <c r="AP112">
        <v>20</v>
      </c>
      <c r="AQ112">
        <v>26</v>
      </c>
      <c r="AR112">
        <v>78</v>
      </c>
      <c r="AS112">
        <v>0.36</v>
      </c>
      <c r="AT112">
        <v>27</v>
      </c>
      <c r="AU112">
        <v>78</v>
      </c>
      <c r="AV112">
        <v>978</v>
      </c>
      <c r="AW112">
        <f t="shared" si="3"/>
        <v>978000</v>
      </c>
    </row>
    <row r="113" spans="1:49" ht="24" x14ac:dyDescent="0.35">
      <c r="A113" s="38" t="s">
        <v>392</v>
      </c>
      <c r="B113" s="37">
        <v>23.7</v>
      </c>
      <c r="C113" s="37">
        <v>8.5</v>
      </c>
      <c r="D113" s="38" t="s">
        <v>393</v>
      </c>
      <c r="E113" s="37">
        <v>6.6</v>
      </c>
      <c r="F113" s="38" t="s">
        <v>394</v>
      </c>
      <c r="G113" s="37">
        <v>2.6</v>
      </c>
      <c r="V113" t="s">
        <v>640</v>
      </c>
      <c r="W113" t="s">
        <v>651</v>
      </c>
      <c r="X113" t="s">
        <v>652</v>
      </c>
      <c r="Y113" t="s">
        <v>568</v>
      </c>
      <c r="Z113">
        <v>1600</v>
      </c>
      <c r="AD113" t="s">
        <v>504</v>
      </c>
      <c r="AE113">
        <v>371</v>
      </c>
      <c r="AF113">
        <v>311</v>
      </c>
      <c r="AG113">
        <v>311</v>
      </c>
      <c r="AH113">
        <v>0</v>
      </c>
      <c r="AI113">
        <v>21</v>
      </c>
      <c r="AJ113">
        <v>383</v>
      </c>
      <c r="AK113">
        <v>403</v>
      </c>
      <c r="AL113">
        <v>21</v>
      </c>
      <c r="AM113">
        <v>84</v>
      </c>
      <c r="AN113">
        <v>108</v>
      </c>
      <c r="AO113">
        <v>9</v>
      </c>
      <c r="AP113">
        <v>14.5</v>
      </c>
      <c r="AQ113">
        <v>31</v>
      </c>
      <c r="AR113">
        <v>50</v>
      </c>
      <c r="AS113">
        <v>0.4</v>
      </c>
      <c r="AT113">
        <v>31</v>
      </c>
      <c r="AU113">
        <v>50</v>
      </c>
      <c r="AV113">
        <v>613</v>
      </c>
      <c r="AW113">
        <f t="shared" si="3"/>
        <v>613000</v>
      </c>
    </row>
    <row r="114" spans="1:49" ht="24" x14ac:dyDescent="0.35">
      <c r="A114" s="36" t="s">
        <v>395</v>
      </c>
      <c r="B114" s="37">
        <v>17.2</v>
      </c>
      <c r="C114" s="37">
        <v>5.4</v>
      </c>
      <c r="D114" s="38" t="s">
        <v>396</v>
      </c>
      <c r="E114" s="37">
        <v>5.6</v>
      </c>
      <c r="F114" s="38" t="s">
        <v>397</v>
      </c>
      <c r="G114" s="37">
        <v>2.7</v>
      </c>
      <c r="V114" t="s">
        <v>640</v>
      </c>
      <c r="W114" t="s">
        <v>653</v>
      </c>
      <c r="X114" t="s">
        <v>654</v>
      </c>
      <c r="Y114" t="s">
        <v>569</v>
      </c>
      <c r="Z114">
        <v>1850</v>
      </c>
      <c r="AA114">
        <v>1.5</v>
      </c>
      <c r="AB114">
        <v>587</v>
      </c>
      <c r="AC114">
        <v>6.26</v>
      </c>
      <c r="AD114" t="s">
        <v>504</v>
      </c>
      <c r="AE114">
        <v>490</v>
      </c>
      <c r="AF114">
        <v>346</v>
      </c>
      <c r="AG114">
        <v>331</v>
      </c>
      <c r="AH114">
        <v>5.5</v>
      </c>
      <c r="AI114">
        <v>39</v>
      </c>
      <c r="AJ114">
        <v>319</v>
      </c>
      <c r="AK114">
        <v>387</v>
      </c>
      <c r="AL114">
        <v>27</v>
      </c>
      <c r="AM114">
        <v>100</v>
      </c>
      <c r="AN114">
        <v>109</v>
      </c>
      <c r="AO114">
        <v>8.8000000000000007</v>
      </c>
      <c r="AP114">
        <v>16</v>
      </c>
      <c r="AQ114">
        <v>38</v>
      </c>
      <c r="AR114">
        <v>71</v>
      </c>
      <c r="AS114">
        <v>0.3</v>
      </c>
      <c r="AT114">
        <v>39.5</v>
      </c>
      <c r="AU114">
        <v>73</v>
      </c>
      <c r="AV114">
        <v>590</v>
      </c>
      <c r="AW114">
        <f t="shared" si="3"/>
        <v>590000</v>
      </c>
    </row>
    <row r="115" spans="1:49" ht="24" x14ac:dyDescent="0.35">
      <c r="A115" s="36" t="s">
        <v>398</v>
      </c>
      <c r="B115" s="37">
        <v>13.7</v>
      </c>
      <c r="C115" s="37">
        <v>3.9</v>
      </c>
      <c r="D115" s="38" t="s">
        <v>399</v>
      </c>
      <c r="E115" s="37">
        <v>5.0999999999999996</v>
      </c>
      <c r="F115" s="38" t="s">
        <v>400</v>
      </c>
      <c r="G115" s="37">
        <v>2.4</v>
      </c>
      <c r="V115" t="s">
        <v>572</v>
      </c>
      <c r="W115" t="s">
        <v>573</v>
      </c>
      <c r="X115" t="s">
        <v>574</v>
      </c>
      <c r="Y115" t="s">
        <v>575</v>
      </c>
      <c r="Z115">
        <v>1500</v>
      </c>
      <c r="AA115">
        <v>0.05</v>
      </c>
      <c r="AD115" t="s">
        <v>504</v>
      </c>
      <c r="AE115">
        <v>1415</v>
      </c>
      <c r="AF115">
        <v>377</v>
      </c>
      <c r="AH115">
        <v>25.2</v>
      </c>
      <c r="AI115">
        <v>278</v>
      </c>
      <c r="AJ115">
        <v>1180</v>
      </c>
      <c r="AK115">
        <v>1021</v>
      </c>
      <c r="AL115">
        <v>99</v>
      </c>
      <c r="AM115">
        <v>208</v>
      </c>
      <c r="AN115">
        <v>313</v>
      </c>
      <c r="AV115">
        <v>1770</v>
      </c>
      <c r="AW115">
        <f t="shared" si="3"/>
        <v>1770000</v>
      </c>
    </row>
    <row r="116" spans="1:49" ht="24" x14ac:dyDescent="0.35">
      <c r="A116" s="36" t="s">
        <v>401</v>
      </c>
      <c r="B116" s="37">
        <v>22.5</v>
      </c>
      <c r="C116" s="37">
        <v>5.2</v>
      </c>
      <c r="D116" s="38" t="s">
        <v>402</v>
      </c>
      <c r="E116" s="37">
        <v>5.4</v>
      </c>
      <c r="F116" s="38" t="s">
        <v>403</v>
      </c>
      <c r="G116" s="37">
        <v>2.6</v>
      </c>
      <c r="V116" t="s">
        <v>572</v>
      </c>
      <c r="W116" t="s">
        <v>576</v>
      </c>
      <c r="X116" t="s">
        <v>577</v>
      </c>
      <c r="Y116" t="s">
        <v>578</v>
      </c>
      <c r="Z116">
        <v>1500</v>
      </c>
      <c r="AA116">
        <v>0.02</v>
      </c>
      <c r="AD116" t="s">
        <v>504</v>
      </c>
      <c r="AE116">
        <v>1121</v>
      </c>
      <c r="AF116">
        <v>451</v>
      </c>
      <c r="AG116">
        <v>300</v>
      </c>
      <c r="AH116">
        <v>168</v>
      </c>
      <c r="AI116">
        <v>74</v>
      </c>
      <c r="AJ116">
        <v>841</v>
      </c>
      <c r="AK116">
        <v>613</v>
      </c>
      <c r="AL116">
        <v>60</v>
      </c>
      <c r="AM116">
        <v>227</v>
      </c>
      <c r="AN116">
        <v>347</v>
      </c>
      <c r="AO116">
        <v>28.4</v>
      </c>
      <c r="AP116">
        <v>43</v>
      </c>
      <c r="AQ116">
        <v>96</v>
      </c>
      <c r="AR116">
        <v>144</v>
      </c>
      <c r="AS116">
        <v>0.42</v>
      </c>
      <c r="AT116">
        <v>103</v>
      </c>
      <c r="AU116">
        <v>154</v>
      </c>
      <c r="AV116">
        <v>1262</v>
      </c>
      <c r="AW116">
        <f t="shared" si="3"/>
        <v>1262000</v>
      </c>
    </row>
    <row r="117" spans="1:49" ht="24.5" thickBot="1" x14ac:dyDescent="0.4">
      <c r="A117" s="41" t="s">
        <v>404</v>
      </c>
      <c r="B117" s="42">
        <v>17.7</v>
      </c>
      <c r="C117" s="42">
        <v>4.8</v>
      </c>
      <c r="D117" s="43" t="s">
        <v>405</v>
      </c>
      <c r="E117" s="42">
        <v>5.4</v>
      </c>
      <c r="F117" s="43" t="s">
        <v>406</v>
      </c>
      <c r="G117" s="42">
        <v>2.6</v>
      </c>
      <c r="V117" t="s">
        <v>572</v>
      </c>
      <c r="W117" t="s">
        <v>579</v>
      </c>
      <c r="X117" t="s">
        <v>580</v>
      </c>
      <c r="Y117" t="s">
        <v>581</v>
      </c>
      <c r="Z117">
        <v>2000</v>
      </c>
      <c r="AA117">
        <v>2</v>
      </c>
      <c r="AD117" t="s">
        <v>504</v>
      </c>
      <c r="AE117">
        <v>516</v>
      </c>
      <c r="AF117">
        <v>235</v>
      </c>
      <c r="AH117">
        <v>1.1000000000000001</v>
      </c>
      <c r="AI117">
        <v>98</v>
      </c>
      <c r="AJ117">
        <v>705</v>
      </c>
      <c r="AK117">
        <v>232</v>
      </c>
      <c r="AL117">
        <v>11</v>
      </c>
      <c r="AM117">
        <v>57</v>
      </c>
      <c r="AN117">
        <v>81</v>
      </c>
      <c r="AV117">
        <v>1410</v>
      </c>
      <c r="AW117">
        <f t="shared" si="3"/>
        <v>1410000</v>
      </c>
    </row>
    <row r="118" spans="1:49" x14ac:dyDescent="0.35">
      <c r="A118" s="45">
        <v>42826</v>
      </c>
      <c r="B118" s="45"/>
      <c r="C118" s="45"/>
      <c r="D118" s="45"/>
      <c r="E118" s="45"/>
      <c r="F118" s="45"/>
      <c r="G118" s="45"/>
      <c r="V118" t="s">
        <v>572</v>
      </c>
      <c r="W118" t="s">
        <v>582</v>
      </c>
      <c r="X118" t="s">
        <v>583</v>
      </c>
      <c r="Y118" t="s">
        <v>584</v>
      </c>
      <c r="Z118">
        <v>4300</v>
      </c>
      <c r="AA118">
        <v>1.5</v>
      </c>
      <c r="AD118" t="s">
        <v>504</v>
      </c>
      <c r="AE118">
        <v>449</v>
      </c>
      <c r="AF118">
        <v>229</v>
      </c>
      <c r="AG118">
        <v>229</v>
      </c>
      <c r="AI118">
        <v>17</v>
      </c>
      <c r="AJ118">
        <v>847</v>
      </c>
      <c r="AV118">
        <v>3642</v>
      </c>
      <c r="AW118">
        <f t="shared" si="3"/>
        <v>3642000</v>
      </c>
    </row>
    <row r="119" spans="1:49" x14ac:dyDescent="0.35">
      <c r="A119" s="46" t="s">
        <v>345</v>
      </c>
      <c r="B119" s="46"/>
      <c r="C119" s="46"/>
      <c r="D119" s="46"/>
      <c r="E119" s="46"/>
      <c r="F119" s="46"/>
      <c r="G119" s="46"/>
      <c r="V119" s="54" t="s">
        <v>572</v>
      </c>
      <c r="W119" t="s">
        <v>585</v>
      </c>
      <c r="X119" t="s">
        <v>586</v>
      </c>
      <c r="Y119" t="s">
        <v>587</v>
      </c>
      <c r="AD119" t="s">
        <v>504</v>
      </c>
      <c r="AE119">
        <v>521</v>
      </c>
      <c r="AF119">
        <v>260</v>
      </c>
      <c r="AG119">
        <v>260</v>
      </c>
      <c r="AH119">
        <v>0.2</v>
      </c>
      <c r="AI119">
        <v>25</v>
      </c>
      <c r="AJ119">
        <v>644</v>
      </c>
      <c r="AK119">
        <v>360</v>
      </c>
      <c r="AL119">
        <v>49</v>
      </c>
      <c r="AM119">
        <v>129</v>
      </c>
      <c r="AN119">
        <v>212</v>
      </c>
      <c r="AO119">
        <v>15.5</v>
      </c>
      <c r="AQ119">
        <v>47</v>
      </c>
      <c r="AS119">
        <v>0.5</v>
      </c>
      <c r="AT119">
        <v>47</v>
      </c>
      <c r="AW119">
        <f t="shared" si="3"/>
        <v>0</v>
      </c>
    </row>
    <row r="120" spans="1:49" ht="24" x14ac:dyDescent="0.35">
      <c r="A120" s="36" t="s">
        <v>407</v>
      </c>
      <c r="B120" s="37">
        <v>54.2</v>
      </c>
      <c r="C120" s="37">
        <v>17.100000000000001</v>
      </c>
      <c r="D120" s="38" t="s">
        <v>408</v>
      </c>
      <c r="E120" s="37">
        <v>14.9</v>
      </c>
      <c r="F120" s="38" t="s">
        <v>409</v>
      </c>
      <c r="G120" s="37">
        <v>6.3</v>
      </c>
      <c r="V120" t="s">
        <v>572</v>
      </c>
      <c r="W120" t="s">
        <v>588</v>
      </c>
      <c r="X120" t="s">
        <v>580</v>
      </c>
      <c r="Y120" t="s">
        <v>581</v>
      </c>
      <c r="Z120">
        <v>2000</v>
      </c>
      <c r="AA120">
        <v>2</v>
      </c>
      <c r="AD120" t="s">
        <v>504</v>
      </c>
      <c r="AE120">
        <v>482</v>
      </c>
      <c r="AF120">
        <v>251</v>
      </c>
      <c r="AG120">
        <v>251</v>
      </c>
      <c r="AH120">
        <v>1.6</v>
      </c>
      <c r="AI120">
        <v>92</v>
      </c>
      <c r="AJ120">
        <v>699</v>
      </c>
      <c r="AK120">
        <v>381</v>
      </c>
      <c r="AL120">
        <v>22</v>
      </c>
      <c r="AM120">
        <v>144</v>
      </c>
      <c r="AN120">
        <v>296</v>
      </c>
      <c r="AO120">
        <v>18.7</v>
      </c>
      <c r="AP120">
        <v>37</v>
      </c>
      <c r="AQ120">
        <v>48</v>
      </c>
      <c r="AR120">
        <v>95</v>
      </c>
      <c r="AS120">
        <v>0.65</v>
      </c>
      <c r="AT120">
        <v>50</v>
      </c>
      <c r="AU120">
        <v>100</v>
      </c>
      <c r="AV120">
        <v>1398</v>
      </c>
      <c r="AW120">
        <f t="shared" si="3"/>
        <v>1398000</v>
      </c>
    </row>
    <row r="121" spans="1:49" ht="24" x14ac:dyDescent="0.35">
      <c r="A121" s="36" t="s">
        <v>410</v>
      </c>
      <c r="B121" s="37">
        <v>125</v>
      </c>
      <c r="C121" s="37">
        <v>40</v>
      </c>
      <c r="D121" s="38" t="s">
        <v>411</v>
      </c>
      <c r="E121" s="37">
        <v>41.6</v>
      </c>
      <c r="F121" s="38" t="s">
        <v>412</v>
      </c>
      <c r="G121" s="37">
        <v>20.7</v>
      </c>
      <c r="V121" t="s">
        <v>572</v>
      </c>
      <c r="W121" t="s">
        <v>589</v>
      </c>
      <c r="X121" t="s">
        <v>590</v>
      </c>
      <c r="Y121" t="s">
        <v>591</v>
      </c>
      <c r="Z121">
        <v>1500</v>
      </c>
      <c r="AA121">
        <v>0.04</v>
      </c>
      <c r="AD121">
        <v>7.9</v>
      </c>
      <c r="AE121">
        <v>888</v>
      </c>
      <c r="AF121">
        <v>252</v>
      </c>
      <c r="AG121">
        <v>252</v>
      </c>
      <c r="AH121">
        <v>7.5</v>
      </c>
      <c r="AI121">
        <v>71</v>
      </c>
      <c r="AJ121">
        <v>829</v>
      </c>
      <c r="AK121">
        <v>446</v>
      </c>
      <c r="AL121">
        <v>50</v>
      </c>
      <c r="AM121">
        <v>177</v>
      </c>
      <c r="AN121">
        <v>273</v>
      </c>
      <c r="AO121">
        <v>21.2</v>
      </c>
      <c r="AP121">
        <v>32</v>
      </c>
      <c r="AQ121">
        <v>74.5</v>
      </c>
      <c r="AR121">
        <v>112</v>
      </c>
      <c r="AS121">
        <v>0.4</v>
      </c>
      <c r="AT121">
        <v>76</v>
      </c>
      <c r="AU121">
        <v>115</v>
      </c>
      <c r="AV121">
        <v>1243</v>
      </c>
      <c r="AW121">
        <f t="shared" si="3"/>
        <v>1243000</v>
      </c>
    </row>
    <row r="122" spans="1:49" ht="24" x14ac:dyDescent="0.35">
      <c r="A122" s="36" t="s">
        <v>413</v>
      </c>
      <c r="B122" s="37">
        <v>11.9</v>
      </c>
      <c r="C122" s="37">
        <v>18.3</v>
      </c>
      <c r="D122" s="38" t="s">
        <v>414</v>
      </c>
      <c r="E122" s="37">
        <v>49.4</v>
      </c>
      <c r="F122" s="38" t="s">
        <v>415</v>
      </c>
      <c r="G122" s="37">
        <v>18.399999999999999</v>
      </c>
      <c r="V122" t="s">
        <v>572</v>
      </c>
      <c r="W122" t="s">
        <v>592</v>
      </c>
      <c r="X122" t="s">
        <v>593</v>
      </c>
      <c r="Y122" t="s">
        <v>594</v>
      </c>
      <c r="Z122">
        <v>1500</v>
      </c>
      <c r="AA122">
        <v>0.64</v>
      </c>
      <c r="AD122" t="s">
        <v>504</v>
      </c>
      <c r="AE122">
        <v>679</v>
      </c>
      <c r="AF122">
        <v>530</v>
      </c>
      <c r="AG122">
        <v>530</v>
      </c>
      <c r="AH122">
        <v>22</v>
      </c>
      <c r="AI122">
        <v>50</v>
      </c>
      <c r="AJ122">
        <v>1035</v>
      </c>
      <c r="AK122">
        <v>678</v>
      </c>
      <c r="AL122">
        <v>33</v>
      </c>
      <c r="AM122">
        <v>186</v>
      </c>
      <c r="AN122">
        <v>280</v>
      </c>
      <c r="AO122">
        <v>23.7</v>
      </c>
      <c r="AP122">
        <v>35.5</v>
      </c>
      <c r="AQ122">
        <v>64</v>
      </c>
      <c r="AR122">
        <v>97</v>
      </c>
      <c r="AS122">
        <v>0.57999999999999996</v>
      </c>
      <c r="AT122">
        <v>65</v>
      </c>
      <c r="AU122">
        <v>98</v>
      </c>
      <c r="AV122">
        <v>1553</v>
      </c>
      <c r="AW122">
        <f t="shared" si="3"/>
        <v>1553000</v>
      </c>
    </row>
    <row r="123" spans="1:49" ht="24" x14ac:dyDescent="0.35">
      <c r="A123" s="36" t="s">
        <v>416</v>
      </c>
      <c r="B123" s="37">
        <v>81.2</v>
      </c>
      <c r="C123" s="37">
        <v>22</v>
      </c>
      <c r="D123" s="38" t="s">
        <v>417</v>
      </c>
      <c r="E123" s="37">
        <v>26</v>
      </c>
      <c r="F123" s="38" t="s">
        <v>418</v>
      </c>
      <c r="G123" s="37">
        <v>11.8</v>
      </c>
      <c r="V123" t="s">
        <v>572</v>
      </c>
      <c r="W123" t="s">
        <v>595</v>
      </c>
      <c r="X123" t="s">
        <v>596</v>
      </c>
      <c r="Y123" t="s">
        <v>597</v>
      </c>
      <c r="Z123">
        <v>1500</v>
      </c>
      <c r="AA123">
        <v>0.64</v>
      </c>
      <c r="AD123" t="s">
        <v>504</v>
      </c>
      <c r="AE123">
        <v>631</v>
      </c>
      <c r="AF123">
        <v>345</v>
      </c>
      <c r="AG123">
        <v>346</v>
      </c>
      <c r="AH123">
        <v>11</v>
      </c>
      <c r="AI123">
        <v>35</v>
      </c>
      <c r="AJ123">
        <v>835</v>
      </c>
      <c r="AK123">
        <v>472</v>
      </c>
      <c r="AL123">
        <v>29</v>
      </c>
      <c r="AM123">
        <v>139</v>
      </c>
      <c r="AN123">
        <v>315</v>
      </c>
      <c r="AO123">
        <v>19.5</v>
      </c>
      <c r="AP123">
        <v>29</v>
      </c>
      <c r="AQ123">
        <v>57</v>
      </c>
      <c r="AR123">
        <v>86</v>
      </c>
      <c r="AS123">
        <v>0.52</v>
      </c>
      <c r="AT123">
        <v>58</v>
      </c>
      <c r="AU123">
        <v>87</v>
      </c>
      <c r="AV123">
        <v>1252</v>
      </c>
      <c r="AW123">
        <f t="shared" si="3"/>
        <v>1252000</v>
      </c>
    </row>
    <row r="124" spans="1:49" x14ac:dyDescent="0.35">
      <c r="A124" s="39" t="s">
        <v>341</v>
      </c>
      <c r="B124" s="40"/>
      <c r="C124" s="40"/>
      <c r="D124" s="40"/>
      <c r="E124" s="40"/>
      <c r="F124" s="40"/>
      <c r="G124" s="40"/>
      <c r="V124" t="s">
        <v>572</v>
      </c>
      <c r="W124" t="s">
        <v>598</v>
      </c>
      <c r="X124" t="s">
        <v>599</v>
      </c>
      <c r="Y124" t="s">
        <v>600</v>
      </c>
      <c r="Z124">
        <v>4300</v>
      </c>
      <c r="AD124">
        <v>6.37</v>
      </c>
      <c r="AE124">
        <v>386</v>
      </c>
      <c r="AF124">
        <v>259</v>
      </c>
      <c r="AG124">
        <v>259</v>
      </c>
      <c r="AH124">
        <v>17</v>
      </c>
      <c r="AI124">
        <v>26</v>
      </c>
      <c r="AJ124">
        <v>455</v>
      </c>
      <c r="AK124">
        <v>301</v>
      </c>
      <c r="AL124">
        <v>25</v>
      </c>
      <c r="AM124">
        <v>101</v>
      </c>
      <c r="AN124">
        <v>152</v>
      </c>
      <c r="AO124">
        <v>10.199999999999999</v>
      </c>
      <c r="AP124">
        <v>44</v>
      </c>
      <c r="AQ124">
        <v>33</v>
      </c>
      <c r="AR124">
        <v>143</v>
      </c>
      <c r="AS124">
        <v>0.44</v>
      </c>
      <c r="AT124">
        <v>34</v>
      </c>
      <c r="AU124">
        <v>146</v>
      </c>
      <c r="AV124">
        <v>1957</v>
      </c>
      <c r="AW124">
        <f t="shared" si="3"/>
        <v>1957000</v>
      </c>
    </row>
    <row r="125" spans="1:49" ht="24" x14ac:dyDescent="0.35">
      <c r="A125" s="38" t="s">
        <v>419</v>
      </c>
      <c r="B125" s="37">
        <v>174.5</v>
      </c>
      <c r="C125" s="37">
        <v>74.900000000000006</v>
      </c>
      <c r="D125" s="38" t="s">
        <v>420</v>
      </c>
      <c r="E125" s="37">
        <v>41.2</v>
      </c>
      <c r="F125" s="38" t="s">
        <v>421</v>
      </c>
      <c r="G125" s="37">
        <v>10.6</v>
      </c>
      <c r="V125" t="s">
        <v>572</v>
      </c>
      <c r="W125" t="s">
        <v>601</v>
      </c>
      <c r="X125" t="s">
        <v>602</v>
      </c>
      <c r="Y125" t="s">
        <v>603</v>
      </c>
      <c r="Z125">
        <v>1500</v>
      </c>
      <c r="AD125" t="s">
        <v>504</v>
      </c>
      <c r="AE125">
        <v>1643</v>
      </c>
      <c r="AF125">
        <v>752</v>
      </c>
      <c r="AG125">
        <v>400</v>
      </c>
      <c r="AH125">
        <v>0</v>
      </c>
      <c r="AI125">
        <v>647</v>
      </c>
      <c r="AJ125">
        <v>4145</v>
      </c>
      <c r="AK125">
        <v>3036</v>
      </c>
      <c r="AL125">
        <v>435</v>
      </c>
      <c r="AM125">
        <v>611</v>
      </c>
      <c r="AN125">
        <v>1039</v>
      </c>
      <c r="AO125">
        <v>133</v>
      </c>
      <c r="AP125">
        <v>199</v>
      </c>
      <c r="AQ125">
        <v>232</v>
      </c>
      <c r="AR125">
        <v>347</v>
      </c>
      <c r="AS125">
        <v>1.35</v>
      </c>
      <c r="AT125">
        <v>264</v>
      </c>
      <c r="AU125">
        <v>396</v>
      </c>
      <c r="AV125">
        <v>6218</v>
      </c>
      <c r="AW125">
        <f t="shared" si="3"/>
        <v>6218000</v>
      </c>
    </row>
    <row r="126" spans="1:49" ht="24" x14ac:dyDescent="0.35">
      <c r="A126" s="36" t="s">
        <v>422</v>
      </c>
      <c r="B126" s="37">
        <v>11.1</v>
      </c>
      <c r="C126" s="37">
        <v>1</v>
      </c>
      <c r="D126" s="38" t="s">
        <v>423</v>
      </c>
      <c r="E126" s="37">
        <v>3.7</v>
      </c>
      <c r="F126" s="38" t="s">
        <v>424</v>
      </c>
      <c r="G126" s="37">
        <v>1.8</v>
      </c>
      <c r="V126" t="s">
        <v>572</v>
      </c>
      <c r="W126" t="s">
        <v>604</v>
      </c>
      <c r="X126" t="s">
        <v>605</v>
      </c>
      <c r="Y126" t="s">
        <v>606</v>
      </c>
      <c r="Z126">
        <v>2500</v>
      </c>
      <c r="AA126">
        <v>0.01</v>
      </c>
      <c r="AD126">
        <v>7.73</v>
      </c>
      <c r="AE126">
        <v>709</v>
      </c>
      <c r="AF126">
        <v>432</v>
      </c>
      <c r="AG126">
        <v>432</v>
      </c>
      <c r="AH126">
        <v>83</v>
      </c>
      <c r="AI126">
        <v>32</v>
      </c>
      <c r="AJ126">
        <v>940</v>
      </c>
      <c r="AK126">
        <v>554</v>
      </c>
      <c r="AL126">
        <v>42</v>
      </c>
      <c r="AM126">
        <v>216</v>
      </c>
      <c r="AN126">
        <v>319</v>
      </c>
      <c r="AO126">
        <v>21.9</v>
      </c>
      <c r="AP126">
        <v>55</v>
      </c>
      <c r="AQ126">
        <v>64</v>
      </c>
      <c r="AR126">
        <v>161</v>
      </c>
      <c r="AS126">
        <v>0.51</v>
      </c>
      <c r="AT126">
        <v>65</v>
      </c>
      <c r="AU126">
        <v>162</v>
      </c>
      <c r="AV126">
        <v>2350</v>
      </c>
      <c r="AW126">
        <f t="shared" si="3"/>
        <v>2350000</v>
      </c>
    </row>
    <row r="127" spans="1:49" ht="24" x14ac:dyDescent="0.35">
      <c r="A127" s="36" t="s">
        <v>425</v>
      </c>
      <c r="B127" s="37">
        <v>67.400000000000006</v>
      </c>
      <c r="C127" s="37">
        <v>21.1</v>
      </c>
      <c r="D127" s="38" t="s">
        <v>426</v>
      </c>
      <c r="E127" s="37">
        <v>21.9</v>
      </c>
      <c r="F127" s="38" t="s">
        <v>427</v>
      </c>
      <c r="G127" s="37">
        <v>6.8</v>
      </c>
      <c r="V127" t="s">
        <v>572</v>
      </c>
      <c r="W127" t="s">
        <v>607</v>
      </c>
      <c r="X127" t="s">
        <v>608</v>
      </c>
      <c r="Y127" t="s">
        <v>609</v>
      </c>
      <c r="Z127">
        <v>2500</v>
      </c>
      <c r="AA127">
        <v>0.01</v>
      </c>
      <c r="AD127" t="s">
        <v>504</v>
      </c>
      <c r="AE127">
        <v>835</v>
      </c>
      <c r="AF127">
        <v>322</v>
      </c>
      <c r="AG127">
        <v>200</v>
      </c>
      <c r="AH127">
        <v>94</v>
      </c>
      <c r="AI127">
        <v>74</v>
      </c>
      <c r="AJ127">
        <v>791</v>
      </c>
      <c r="AK127">
        <v>451</v>
      </c>
      <c r="AL127">
        <v>74</v>
      </c>
      <c r="AM127">
        <v>178</v>
      </c>
      <c r="AN127">
        <v>317</v>
      </c>
      <c r="AO127">
        <v>25.3</v>
      </c>
      <c r="AP127">
        <v>63</v>
      </c>
      <c r="AQ127">
        <v>75</v>
      </c>
      <c r="AR127">
        <v>188</v>
      </c>
      <c r="AS127">
        <v>0.5</v>
      </c>
      <c r="AT127">
        <v>82</v>
      </c>
      <c r="AU127">
        <v>204</v>
      </c>
      <c r="AV127">
        <v>1978</v>
      </c>
      <c r="AW127">
        <f t="shared" si="3"/>
        <v>1978000</v>
      </c>
    </row>
    <row r="128" spans="1:49" ht="24" x14ac:dyDescent="0.35">
      <c r="A128" s="36" t="s">
        <v>428</v>
      </c>
      <c r="B128" s="37">
        <v>55.3</v>
      </c>
      <c r="C128" s="37">
        <v>19.8</v>
      </c>
      <c r="D128" s="38" t="s">
        <v>429</v>
      </c>
      <c r="E128" s="37">
        <v>15.3</v>
      </c>
      <c r="F128" s="38" t="s">
        <v>399</v>
      </c>
      <c r="G128" s="37">
        <v>5</v>
      </c>
      <c r="V128" t="s">
        <v>572</v>
      </c>
      <c r="W128" t="s">
        <v>610</v>
      </c>
      <c r="X128" t="s">
        <v>611</v>
      </c>
      <c r="Y128" t="s">
        <v>612</v>
      </c>
      <c r="Z128">
        <v>2800</v>
      </c>
      <c r="AA128">
        <v>4.3</v>
      </c>
      <c r="AD128" t="s">
        <v>504</v>
      </c>
      <c r="AE128">
        <v>434</v>
      </c>
      <c r="AF128">
        <v>263</v>
      </c>
      <c r="AG128">
        <v>263</v>
      </c>
      <c r="AH128">
        <v>25</v>
      </c>
      <c r="AI128">
        <v>156</v>
      </c>
      <c r="AJ128">
        <v>349</v>
      </c>
      <c r="AK128">
        <v>334</v>
      </c>
      <c r="AL128">
        <v>29</v>
      </c>
      <c r="AM128">
        <v>121</v>
      </c>
      <c r="AN128">
        <v>231</v>
      </c>
      <c r="AO128">
        <v>14.6</v>
      </c>
      <c r="AP128">
        <v>41</v>
      </c>
      <c r="AQ128">
        <v>41</v>
      </c>
      <c r="AR128">
        <v>114</v>
      </c>
      <c r="AS128">
        <v>0.56999999999999995</v>
      </c>
      <c r="AT128">
        <v>45</v>
      </c>
      <c r="AU128">
        <v>127</v>
      </c>
      <c r="AV128">
        <v>978</v>
      </c>
      <c r="AW128">
        <f t="shared" si="3"/>
        <v>978000</v>
      </c>
    </row>
    <row r="129" spans="1:49" x14ac:dyDescent="0.35">
      <c r="A129" s="39" t="s">
        <v>349</v>
      </c>
      <c r="B129" s="40"/>
      <c r="C129" s="40"/>
      <c r="D129" s="40"/>
      <c r="E129" s="40"/>
      <c r="F129" s="40"/>
      <c r="G129" s="40"/>
      <c r="V129" t="s">
        <v>572</v>
      </c>
      <c r="W129" t="s">
        <v>613</v>
      </c>
      <c r="X129" t="s">
        <v>614</v>
      </c>
      <c r="Y129" t="s">
        <v>615</v>
      </c>
      <c r="Z129">
        <v>2600</v>
      </c>
      <c r="AA129">
        <v>0.37</v>
      </c>
      <c r="AD129">
        <v>7.02</v>
      </c>
      <c r="AE129">
        <v>361</v>
      </c>
      <c r="AF129">
        <v>268</v>
      </c>
      <c r="AG129">
        <v>268</v>
      </c>
      <c r="AH129">
        <v>21</v>
      </c>
      <c r="AI129">
        <v>27</v>
      </c>
      <c r="AJ129">
        <v>367</v>
      </c>
      <c r="AK129">
        <v>300</v>
      </c>
      <c r="AL129">
        <v>21</v>
      </c>
      <c r="AM129">
        <v>91</v>
      </c>
      <c r="AN129">
        <v>133</v>
      </c>
      <c r="AO129">
        <v>8.8000000000000007</v>
      </c>
      <c r="AP129">
        <v>23</v>
      </c>
      <c r="AQ129">
        <v>30</v>
      </c>
      <c r="AR129">
        <v>79</v>
      </c>
      <c r="AS129">
        <v>0.4</v>
      </c>
      <c r="AT129">
        <v>31</v>
      </c>
      <c r="AU129">
        <v>80</v>
      </c>
      <c r="AV129">
        <v>954</v>
      </c>
      <c r="AW129">
        <f t="shared" si="3"/>
        <v>954000</v>
      </c>
    </row>
    <row r="130" spans="1:49" ht="24" x14ac:dyDescent="0.35">
      <c r="A130" s="38" t="s">
        <v>430</v>
      </c>
      <c r="B130" s="37">
        <v>73</v>
      </c>
      <c r="C130" s="37">
        <v>19.149999999999999</v>
      </c>
      <c r="D130" s="38" t="s">
        <v>431</v>
      </c>
      <c r="E130" s="37">
        <v>21.5</v>
      </c>
      <c r="F130" s="38" t="s">
        <v>432</v>
      </c>
      <c r="G130" s="37">
        <v>9</v>
      </c>
    </row>
    <row r="131" spans="1:49" ht="24" x14ac:dyDescent="0.35">
      <c r="A131" s="36" t="s">
        <v>433</v>
      </c>
      <c r="B131" s="37">
        <v>37.200000000000003</v>
      </c>
      <c r="C131" s="37">
        <v>11.9</v>
      </c>
      <c r="D131" s="38" t="s">
        <v>434</v>
      </c>
      <c r="E131" s="37">
        <v>9.5</v>
      </c>
      <c r="F131" s="38" t="s">
        <v>435</v>
      </c>
      <c r="G131" s="37">
        <v>4.5999999999999996</v>
      </c>
    </row>
    <row r="132" spans="1:49" ht="24" x14ac:dyDescent="0.35">
      <c r="A132" s="36" t="s">
        <v>436</v>
      </c>
      <c r="B132" s="37">
        <v>24.3</v>
      </c>
      <c r="C132" s="37">
        <v>5</v>
      </c>
      <c r="D132" s="38" t="s">
        <v>437</v>
      </c>
      <c r="E132" s="37">
        <v>7.1</v>
      </c>
      <c r="F132" s="38" t="s">
        <v>438</v>
      </c>
      <c r="G132" s="37">
        <v>3.4</v>
      </c>
    </row>
    <row r="133" spans="1:49" ht="24" x14ac:dyDescent="0.35">
      <c r="A133" s="36" t="s">
        <v>439</v>
      </c>
      <c r="B133" s="37">
        <v>11.4</v>
      </c>
      <c r="C133" s="37">
        <v>8.8000000000000007</v>
      </c>
      <c r="D133" s="38" t="s">
        <v>440</v>
      </c>
      <c r="E133" s="37">
        <v>5</v>
      </c>
      <c r="F133" s="38" t="s">
        <v>441</v>
      </c>
      <c r="G133" s="37">
        <v>2.5</v>
      </c>
    </row>
    <row r="134" spans="1:49" ht="24.5" thickBot="1" x14ac:dyDescent="0.4">
      <c r="A134" s="41" t="s">
        <v>442</v>
      </c>
      <c r="B134" s="42">
        <v>23.6</v>
      </c>
      <c r="C134" s="42">
        <v>8.4</v>
      </c>
      <c r="D134" s="43" t="s">
        <v>437</v>
      </c>
      <c r="E134" s="42">
        <v>7.1</v>
      </c>
      <c r="F134" s="43" t="s">
        <v>443</v>
      </c>
      <c r="G134" s="42">
        <v>3.5</v>
      </c>
    </row>
  </sheetData>
  <mergeCells count="7">
    <mergeCell ref="A118:G118"/>
    <mergeCell ref="A119:G119"/>
    <mergeCell ref="A84:D84"/>
    <mergeCell ref="E84:E85"/>
    <mergeCell ref="F84:F85"/>
    <mergeCell ref="A101:G101"/>
    <mergeCell ref="A102:G102"/>
  </mergeCells>
  <hyperlinks>
    <hyperlink ref="A14" r:id="rId1" location="jgrf22041-note-0001_127" tooltip="Link to note" display="https://agupubs.onlinelibrary.wiley.com/doi/full/10.1029/2024JF007776 - jgrf22041-note-0001_127" xr:uid="{B7B8B883-4808-4EDA-9DE8-A99C2CD7A371}"/>
    <hyperlink ref="A15" r:id="rId2" location="jgrf22041-note-0001_128" tooltip="Link to note" display="https://agupubs.onlinelibrary.wiley.com/doi/full/10.1029/2024JF007776 - jgrf22041-note-0001_128" xr:uid="{43619258-E556-42E0-8B7F-752AEC46D572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8E0B-627F-4F6D-97C7-D46ED817C260}">
  <dimension ref="A1:H192"/>
  <sheetViews>
    <sheetView tabSelected="1" topLeftCell="A166" workbookViewId="0">
      <selection activeCell="Q13" sqref="Q13"/>
    </sheetView>
  </sheetViews>
  <sheetFormatPr defaultRowHeight="14.5" x14ac:dyDescent="0.35"/>
  <cols>
    <col min="1" max="1" width="32.08984375" bestFit="1" customWidth="1"/>
    <col min="2" max="2" width="25.08984375" customWidth="1"/>
  </cols>
  <sheetData>
    <row r="1" spans="1:8" x14ac:dyDescent="0.35">
      <c r="A1" t="s">
        <v>0</v>
      </c>
      <c r="B1" t="s">
        <v>170</v>
      </c>
      <c r="C1" t="s">
        <v>1</v>
      </c>
      <c r="D1" t="s">
        <v>2</v>
      </c>
      <c r="E1" t="s">
        <v>168</v>
      </c>
      <c r="F1" t="s">
        <v>169</v>
      </c>
      <c r="G1" t="s">
        <v>486</v>
      </c>
      <c r="H1" t="s">
        <v>4</v>
      </c>
    </row>
    <row r="2" spans="1:8" x14ac:dyDescent="0.35">
      <c r="A2" t="s">
        <v>18</v>
      </c>
      <c r="C2" t="s">
        <v>19</v>
      </c>
      <c r="D2">
        <v>410000</v>
      </c>
      <c r="E2">
        <v>832000000000</v>
      </c>
      <c r="F2" s="1">
        <v>2029268.2926829269</v>
      </c>
      <c r="G2">
        <v>486</v>
      </c>
      <c r="H2">
        <v>1185</v>
      </c>
    </row>
    <row r="3" spans="1:8" x14ac:dyDescent="0.35">
      <c r="A3" t="s">
        <v>21</v>
      </c>
      <c r="C3" t="s">
        <v>19</v>
      </c>
      <c r="D3">
        <v>30600</v>
      </c>
      <c r="E3">
        <v>37000000000</v>
      </c>
      <c r="F3" s="1">
        <v>1209150.3267973857</v>
      </c>
      <c r="G3">
        <v>84.13</v>
      </c>
      <c r="H3">
        <v>2749</v>
      </c>
    </row>
    <row r="4" spans="1:8" x14ac:dyDescent="0.35">
      <c r="A4" t="s">
        <v>22</v>
      </c>
      <c r="C4" t="s">
        <v>19</v>
      </c>
      <c r="D4">
        <v>102000</v>
      </c>
      <c r="E4">
        <v>95000000000</v>
      </c>
      <c r="F4" s="1">
        <v>931372.54901960783</v>
      </c>
      <c r="G4">
        <v>39</v>
      </c>
      <c r="H4">
        <v>382</v>
      </c>
    </row>
    <row r="5" spans="1:8" x14ac:dyDescent="0.35">
      <c r="A5" t="s">
        <v>23</v>
      </c>
      <c r="C5" t="s">
        <v>19</v>
      </c>
      <c r="D5">
        <v>78700</v>
      </c>
      <c r="E5">
        <v>72000000000</v>
      </c>
      <c r="F5" s="1">
        <v>914866.58195679798</v>
      </c>
      <c r="G5">
        <v>120</v>
      </c>
      <c r="H5">
        <v>1525</v>
      </c>
    </row>
    <row r="6" spans="1:8" x14ac:dyDescent="0.35">
      <c r="A6" t="s">
        <v>24</v>
      </c>
      <c r="C6" t="s">
        <v>19</v>
      </c>
      <c r="D6">
        <v>95600</v>
      </c>
      <c r="E6">
        <v>4700000000</v>
      </c>
      <c r="F6" s="1">
        <v>49163.179916317989</v>
      </c>
      <c r="G6">
        <v>54</v>
      </c>
      <c r="H6">
        <v>565</v>
      </c>
    </row>
    <row r="7" spans="1:8" x14ac:dyDescent="0.35">
      <c r="A7" t="s">
        <v>25</v>
      </c>
      <c r="C7" t="s">
        <v>19</v>
      </c>
      <c r="D7">
        <v>88000</v>
      </c>
      <c r="E7">
        <v>56000000000</v>
      </c>
      <c r="F7" s="1">
        <v>636363.63636363635</v>
      </c>
      <c r="G7">
        <v>21</v>
      </c>
      <c r="H7">
        <v>239</v>
      </c>
    </row>
    <row r="8" spans="1:8" x14ac:dyDescent="0.35">
      <c r="A8" t="s">
        <v>26</v>
      </c>
      <c r="C8" t="s">
        <v>19</v>
      </c>
      <c r="D8">
        <v>1050000</v>
      </c>
      <c r="E8">
        <v>471000000000</v>
      </c>
      <c r="F8" s="1">
        <v>448571.42857142858</v>
      </c>
      <c r="G8">
        <v>493</v>
      </c>
      <c r="H8">
        <v>470</v>
      </c>
    </row>
    <row r="9" spans="1:8" x14ac:dyDescent="0.35">
      <c r="A9" t="s">
        <v>27</v>
      </c>
      <c r="C9" t="s">
        <v>19</v>
      </c>
      <c r="D9">
        <v>198000</v>
      </c>
      <c r="F9" s="1"/>
      <c r="G9">
        <v>32.5</v>
      </c>
      <c r="H9">
        <v>164</v>
      </c>
    </row>
    <row r="10" spans="1:8" x14ac:dyDescent="0.35">
      <c r="A10" t="s">
        <v>28</v>
      </c>
      <c r="C10" t="s">
        <v>19</v>
      </c>
      <c r="D10">
        <v>224000</v>
      </c>
      <c r="E10">
        <v>14000000000</v>
      </c>
      <c r="F10" s="1">
        <v>62500</v>
      </c>
      <c r="G10">
        <v>69.400000000000006</v>
      </c>
      <c r="H10">
        <v>310</v>
      </c>
    </row>
    <row r="11" spans="1:8" x14ac:dyDescent="0.35">
      <c r="A11" t="s">
        <v>29</v>
      </c>
      <c r="C11" t="s">
        <v>19</v>
      </c>
      <c r="D11">
        <v>580000</v>
      </c>
      <c r="E11">
        <v>87000000000</v>
      </c>
      <c r="F11" s="1">
        <v>150000</v>
      </c>
      <c r="G11">
        <v>510</v>
      </c>
      <c r="H11">
        <v>879</v>
      </c>
    </row>
    <row r="12" spans="1:8" x14ac:dyDescent="0.35">
      <c r="A12" t="s">
        <v>30</v>
      </c>
      <c r="C12" t="s">
        <v>19</v>
      </c>
      <c r="D12">
        <v>235000</v>
      </c>
      <c r="E12">
        <v>15000000000</v>
      </c>
      <c r="F12" s="1">
        <v>63829.787234042553</v>
      </c>
      <c r="G12">
        <v>237</v>
      </c>
      <c r="H12">
        <v>1009</v>
      </c>
    </row>
    <row r="13" spans="1:8" x14ac:dyDescent="0.35">
      <c r="A13" t="s">
        <v>31</v>
      </c>
      <c r="C13" t="s">
        <v>19</v>
      </c>
      <c r="D13">
        <v>817000</v>
      </c>
      <c r="F13" s="1"/>
      <c r="G13">
        <v>207</v>
      </c>
      <c r="H13">
        <v>253</v>
      </c>
    </row>
    <row r="14" spans="1:8" x14ac:dyDescent="0.35">
      <c r="A14" t="s">
        <v>32</v>
      </c>
      <c r="C14" t="s">
        <v>19</v>
      </c>
      <c r="D14">
        <v>437000</v>
      </c>
      <c r="E14">
        <v>24000000000</v>
      </c>
      <c r="F14" s="1">
        <v>54919.908466819223</v>
      </c>
      <c r="G14">
        <v>363</v>
      </c>
      <c r="H14">
        <v>831</v>
      </c>
    </row>
    <row r="15" spans="1:8" x14ac:dyDescent="0.35">
      <c r="A15" t="s">
        <v>33</v>
      </c>
      <c r="C15" t="s">
        <v>19</v>
      </c>
      <c r="D15">
        <v>46000</v>
      </c>
      <c r="F15" s="1"/>
      <c r="G15">
        <v>10.6</v>
      </c>
      <c r="H15">
        <v>230</v>
      </c>
    </row>
    <row r="16" spans="1:8" x14ac:dyDescent="0.35">
      <c r="A16" t="s">
        <v>36</v>
      </c>
      <c r="C16" t="s">
        <v>19</v>
      </c>
      <c r="D16">
        <v>13200</v>
      </c>
      <c r="E16">
        <v>2500000000</v>
      </c>
      <c r="F16" s="1">
        <v>189393.93939393939</v>
      </c>
      <c r="G16">
        <v>40.06</v>
      </c>
      <c r="H16">
        <v>3035</v>
      </c>
    </row>
    <row r="17" spans="1:8" x14ac:dyDescent="0.35">
      <c r="A17" t="s">
        <v>37</v>
      </c>
      <c r="C17" t="s">
        <v>19</v>
      </c>
      <c r="D17">
        <v>240000</v>
      </c>
      <c r="E17">
        <v>38900000000</v>
      </c>
      <c r="F17" s="1">
        <v>162083.33333333334</v>
      </c>
      <c r="G17">
        <v>145</v>
      </c>
      <c r="H17">
        <v>604</v>
      </c>
    </row>
    <row r="18" spans="1:8" x14ac:dyDescent="0.35">
      <c r="A18" t="s">
        <v>38</v>
      </c>
      <c r="C18" t="s">
        <v>19</v>
      </c>
      <c r="D18">
        <v>259000</v>
      </c>
      <c r="E18">
        <v>41000000000</v>
      </c>
      <c r="F18" s="1">
        <v>158301.15830115831</v>
      </c>
      <c r="G18">
        <v>30</v>
      </c>
      <c r="H18">
        <v>116</v>
      </c>
    </row>
    <row r="19" spans="1:8" x14ac:dyDescent="0.35">
      <c r="A19" t="s">
        <v>39</v>
      </c>
      <c r="C19" t="s">
        <v>19</v>
      </c>
      <c r="D19">
        <v>348000</v>
      </c>
      <c r="E19">
        <v>9000000000</v>
      </c>
      <c r="F19" s="1">
        <v>25862.068965517243</v>
      </c>
      <c r="G19">
        <v>110</v>
      </c>
      <c r="H19">
        <v>316</v>
      </c>
    </row>
    <row r="20" spans="1:8" x14ac:dyDescent="0.35">
      <c r="A20" t="s">
        <v>40</v>
      </c>
      <c r="C20" t="s">
        <v>19</v>
      </c>
      <c r="D20">
        <v>123000</v>
      </c>
      <c r="E20">
        <v>12300000000</v>
      </c>
      <c r="F20" s="1">
        <v>100000</v>
      </c>
      <c r="G20">
        <v>59.9</v>
      </c>
      <c r="H20">
        <v>487</v>
      </c>
    </row>
    <row r="21" spans="1:8" x14ac:dyDescent="0.35">
      <c r="A21" t="s">
        <v>41</v>
      </c>
      <c r="C21" t="s">
        <v>19</v>
      </c>
      <c r="D21">
        <v>440000</v>
      </c>
      <c r="E21">
        <v>42400000000</v>
      </c>
      <c r="F21" s="1">
        <v>96363.636363636368</v>
      </c>
      <c r="G21">
        <v>26</v>
      </c>
      <c r="H21">
        <v>59</v>
      </c>
    </row>
    <row r="22" spans="1:8" x14ac:dyDescent="0.35">
      <c r="A22" t="s">
        <v>42</v>
      </c>
      <c r="C22" t="s">
        <v>19</v>
      </c>
      <c r="D22">
        <v>2990000</v>
      </c>
      <c r="E22">
        <v>57000000000</v>
      </c>
      <c r="F22" s="1">
        <v>19063.545150501672</v>
      </c>
      <c r="G22">
        <v>404</v>
      </c>
      <c r="H22">
        <v>135</v>
      </c>
    </row>
    <row r="23" spans="1:8" x14ac:dyDescent="0.35">
      <c r="A23" t="s">
        <v>43</v>
      </c>
      <c r="C23" t="s">
        <v>19</v>
      </c>
      <c r="D23">
        <v>325000</v>
      </c>
      <c r="F23" s="1"/>
      <c r="G23">
        <v>211</v>
      </c>
      <c r="H23">
        <v>649</v>
      </c>
    </row>
    <row r="24" spans="1:8" x14ac:dyDescent="0.35">
      <c r="A24" t="s">
        <v>44</v>
      </c>
      <c r="C24" t="s">
        <v>19</v>
      </c>
      <c r="D24">
        <v>420000</v>
      </c>
      <c r="E24">
        <v>48000000000</v>
      </c>
      <c r="F24" s="1">
        <v>114285.71428571429</v>
      </c>
      <c r="G24">
        <v>28.9</v>
      </c>
      <c r="H24">
        <v>69</v>
      </c>
    </row>
    <row r="25" spans="1:8" x14ac:dyDescent="0.35">
      <c r="A25" t="s">
        <v>45</v>
      </c>
      <c r="C25" t="s">
        <v>19</v>
      </c>
      <c r="D25">
        <v>2780000</v>
      </c>
      <c r="E25">
        <v>263000000000</v>
      </c>
      <c r="F25" s="1">
        <v>94604.316546762595</v>
      </c>
      <c r="G25">
        <v>568</v>
      </c>
      <c r="H25">
        <v>204</v>
      </c>
    </row>
    <row r="26" spans="1:8" x14ac:dyDescent="0.35">
      <c r="A26" t="s">
        <v>46</v>
      </c>
      <c r="C26" t="s">
        <v>19</v>
      </c>
      <c r="D26">
        <v>669000</v>
      </c>
      <c r="E26">
        <v>61000000000</v>
      </c>
      <c r="F26" s="1">
        <v>91180.866965620327</v>
      </c>
      <c r="G26">
        <v>236</v>
      </c>
      <c r="H26">
        <v>353</v>
      </c>
    </row>
    <row r="27" spans="1:8" x14ac:dyDescent="0.35">
      <c r="A27" t="s">
        <v>47</v>
      </c>
      <c r="C27" t="s">
        <v>19</v>
      </c>
      <c r="D27">
        <v>2980000</v>
      </c>
      <c r="E27">
        <v>199000000000</v>
      </c>
      <c r="F27" s="1">
        <v>66778.523489932879</v>
      </c>
      <c r="G27">
        <v>580</v>
      </c>
      <c r="H27">
        <v>195</v>
      </c>
    </row>
    <row r="28" spans="1:8" x14ac:dyDescent="0.35">
      <c r="A28" t="s">
        <v>48</v>
      </c>
      <c r="C28" t="s">
        <v>19</v>
      </c>
      <c r="D28">
        <v>752000</v>
      </c>
      <c r="E28">
        <v>62000000000</v>
      </c>
      <c r="F28" s="1">
        <v>82446.808510638293</v>
      </c>
      <c r="G28">
        <v>41</v>
      </c>
      <c r="H28">
        <v>55</v>
      </c>
    </row>
    <row r="29" spans="1:8" x14ac:dyDescent="0.35">
      <c r="A29" t="s">
        <v>50</v>
      </c>
      <c r="C29" t="s">
        <v>19</v>
      </c>
      <c r="D29">
        <v>1810000</v>
      </c>
      <c r="E29">
        <v>107000000000</v>
      </c>
      <c r="F29" s="1">
        <v>59116.022099447517</v>
      </c>
      <c r="G29">
        <v>928</v>
      </c>
      <c r="H29">
        <v>513</v>
      </c>
    </row>
    <row r="30" spans="1:8" x14ac:dyDescent="0.35">
      <c r="A30" t="s">
        <v>51</v>
      </c>
      <c r="C30" t="s">
        <v>19</v>
      </c>
      <c r="D30">
        <v>1100000</v>
      </c>
      <c r="E30">
        <v>76000000000</v>
      </c>
      <c r="F30" s="1">
        <v>69090.909090909088</v>
      </c>
      <c r="G30">
        <v>1135</v>
      </c>
      <c r="H30">
        <v>1032</v>
      </c>
    </row>
    <row r="31" spans="1:8" x14ac:dyDescent="0.35">
      <c r="A31" t="s">
        <v>52</v>
      </c>
      <c r="C31" t="s">
        <v>19</v>
      </c>
      <c r="D31">
        <v>1130000</v>
      </c>
      <c r="E31">
        <v>43000000000</v>
      </c>
      <c r="F31" s="1">
        <v>38053.097345132745</v>
      </c>
      <c r="G31">
        <v>89.3</v>
      </c>
      <c r="H31">
        <v>79</v>
      </c>
    </row>
    <row r="32" spans="1:8" x14ac:dyDescent="0.35">
      <c r="A32" t="s">
        <v>53</v>
      </c>
      <c r="C32" t="s">
        <v>19</v>
      </c>
      <c r="D32">
        <v>6110000</v>
      </c>
      <c r="E32">
        <v>320000000000</v>
      </c>
      <c r="F32" s="1">
        <v>52373.158756137476</v>
      </c>
      <c r="G32">
        <v>6590</v>
      </c>
      <c r="H32">
        <v>1078</v>
      </c>
    </row>
    <row r="33" spans="1:8" x14ac:dyDescent="0.35">
      <c r="A33" t="s">
        <v>54</v>
      </c>
      <c r="C33" t="s">
        <v>19</v>
      </c>
      <c r="D33">
        <v>1790000</v>
      </c>
      <c r="E33">
        <v>61000000000</v>
      </c>
      <c r="F33" s="1">
        <v>34078.212290502794</v>
      </c>
      <c r="G33">
        <v>308</v>
      </c>
      <c r="H33">
        <v>172</v>
      </c>
    </row>
    <row r="34" spans="1:8" x14ac:dyDescent="0.35">
      <c r="A34" t="s">
        <v>55</v>
      </c>
      <c r="C34" t="s">
        <v>19</v>
      </c>
      <c r="D34">
        <v>916000</v>
      </c>
      <c r="E34">
        <v>54000000000</v>
      </c>
      <c r="F34" s="1">
        <v>58951.965065502183</v>
      </c>
      <c r="G34">
        <v>90</v>
      </c>
      <c r="H34">
        <v>98</v>
      </c>
    </row>
    <row r="35" spans="1:8" x14ac:dyDescent="0.35">
      <c r="A35" t="s">
        <v>56</v>
      </c>
      <c r="C35" t="s">
        <v>19</v>
      </c>
      <c r="D35">
        <v>660000</v>
      </c>
      <c r="E35">
        <v>29000000000</v>
      </c>
      <c r="F35" s="1">
        <v>43939.393939393936</v>
      </c>
      <c r="G35">
        <v>132</v>
      </c>
      <c r="H35">
        <v>200</v>
      </c>
    </row>
    <row r="36" spans="1:8" x14ac:dyDescent="0.35">
      <c r="A36" t="s">
        <v>57</v>
      </c>
      <c r="C36" t="s">
        <v>19</v>
      </c>
      <c r="D36">
        <v>220000</v>
      </c>
      <c r="E36">
        <v>9400000000</v>
      </c>
      <c r="F36" s="1">
        <v>42727.272727272728</v>
      </c>
      <c r="G36">
        <v>112</v>
      </c>
      <c r="H36">
        <v>509</v>
      </c>
    </row>
    <row r="37" spans="1:8" x14ac:dyDescent="0.35">
      <c r="A37" t="s">
        <v>58</v>
      </c>
      <c r="C37" t="s">
        <v>19</v>
      </c>
      <c r="D37">
        <v>364000</v>
      </c>
      <c r="E37">
        <v>15400000000</v>
      </c>
      <c r="F37" s="1">
        <v>42307.692307692305</v>
      </c>
      <c r="G37">
        <v>85.3</v>
      </c>
      <c r="H37">
        <v>234</v>
      </c>
    </row>
    <row r="38" spans="1:8" x14ac:dyDescent="0.35">
      <c r="A38" t="s">
        <v>59</v>
      </c>
      <c r="C38" t="s">
        <v>19</v>
      </c>
      <c r="D38">
        <v>541000</v>
      </c>
      <c r="E38">
        <v>37000000000</v>
      </c>
      <c r="F38" s="1">
        <v>68391.866913123842</v>
      </c>
      <c r="G38">
        <v>45.8</v>
      </c>
      <c r="H38">
        <v>85</v>
      </c>
    </row>
    <row r="39" spans="1:8" x14ac:dyDescent="0.35">
      <c r="A39" t="s">
        <v>60</v>
      </c>
      <c r="C39" t="s">
        <v>19</v>
      </c>
      <c r="D39">
        <v>1200000</v>
      </c>
      <c r="E39">
        <v>35500000000</v>
      </c>
      <c r="F39" s="1">
        <v>29583.333333333332</v>
      </c>
      <c r="G39">
        <v>154.1</v>
      </c>
      <c r="H39">
        <v>128</v>
      </c>
    </row>
    <row r="40" spans="1:8" x14ac:dyDescent="0.35">
      <c r="A40" t="s">
        <v>61</v>
      </c>
      <c r="C40" t="s">
        <v>19</v>
      </c>
      <c r="D40">
        <v>1060000</v>
      </c>
      <c r="E40">
        <v>25000000000</v>
      </c>
      <c r="F40" s="1">
        <v>23584.905660377357</v>
      </c>
      <c r="G40">
        <v>23.6</v>
      </c>
      <c r="H40">
        <v>22</v>
      </c>
    </row>
    <row r="41" spans="1:8" x14ac:dyDescent="0.35">
      <c r="A41" t="s">
        <v>173</v>
      </c>
      <c r="C41" t="s">
        <v>19</v>
      </c>
      <c r="D41">
        <v>2590000</v>
      </c>
      <c r="E41">
        <v>169000000000</v>
      </c>
      <c r="F41" s="1">
        <v>65250.965250965251</v>
      </c>
      <c r="G41">
        <v>620</v>
      </c>
      <c r="H41">
        <v>239</v>
      </c>
    </row>
    <row r="42" spans="1:8" x14ac:dyDescent="0.35">
      <c r="A42" t="s">
        <v>62</v>
      </c>
      <c r="C42" t="s">
        <v>19</v>
      </c>
      <c r="D42">
        <v>1020000</v>
      </c>
      <c r="E42">
        <v>28000000000</v>
      </c>
      <c r="F42" s="1">
        <v>27450.980392156864</v>
      </c>
      <c r="G42">
        <v>337</v>
      </c>
      <c r="H42">
        <v>330</v>
      </c>
    </row>
    <row r="43" spans="1:8" x14ac:dyDescent="0.35">
      <c r="A43" t="s">
        <v>63</v>
      </c>
      <c r="C43" t="s">
        <v>19</v>
      </c>
      <c r="D43">
        <v>2490000</v>
      </c>
      <c r="E43">
        <v>86000000000</v>
      </c>
      <c r="F43" s="1">
        <v>34538.152610441764</v>
      </c>
      <c r="G43">
        <v>525</v>
      </c>
      <c r="H43">
        <v>211</v>
      </c>
    </row>
    <row r="44" spans="1:8" x14ac:dyDescent="0.35">
      <c r="A44" t="s">
        <v>64</v>
      </c>
      <c r="C44" t="s">
        <v>19</v>
      </c>
      <c r="D44">
        <v>2870000</v>
      </c>
      <c r="E44">
        <v>64000000000</v>
      </c>
      <c r="F44" s="1">
        <v>22299.651567944249</v>
      </c>
      <c r="G44">
        <v>83</v>
      </c>
      <c r="H44">
        <v>10</v>
      </c>
    </row>
    <row r="45" spans="1:8" x14ac:dyDescent="0.35">
      <c r="A45" t="s">
        <v>65</v>
      </c>
      <c r="C45" t="s">
        <v>19</v>
      </c>
      <c r="D45">
        <v>324000</v>
      </c>
      <c r="E45">
        <v>5800000000</v>
      </c>
      <c r="F45" s="1">
        <v>17901.234567901236</v>
      </c>
      <c r="G45">
        <v>131</v>
      </c>
      <c r="H45">
        <v>404</v>
      </c>
    </row>
    <row r="46" spans="1:8" x14ac:dyDescent="0.35">
      <c r="A46" t="s">
        <v>66</v>
      </c>
      <c r="C46" t="s">
        <v>19</v>
      </c>
      <c r="D46">
        <v>849000</v>
      </c>
      <c r="E46">
        <v>29000000000</v>
      </c>
      <c r="F46" s="1">
        <v>34157.832744405183</v>
      </c>
      <c r="G46">
        <v>200</v>
      </c>
      <c r="H46">
        <v>236</v>
      </c>
    </row>
    <row r="47" spans="1:8" x14ac:dyDescent="0.35">
      <c r="A47" t="s">
        <v>67</v>
      </c>
      <c r="C47" t="s">
        <v>19</v>
      </c>
      <c r="D47">
        <v>795000</v>
      </c>
      <c r="E47">
        <v>194000000000</v>
      </c>
      <c r="F47" s="1">
        <v>244025.1572327044</v>
      </c>
      <c r="G47">
        <v>467</v>
      </c>
      <c r="H47">
        <v>587</v>
      </c>
    </row>
    <row r="48" spans="1:8" x14ac:dyDescent="0.35">
      <c r="A48" t="s">
        <v>68</v>
      </c>
      <c r="C48" t="s">
        <v>19</v>
      </c>
      <c r="D48">
        <v>313000</v>
      </c>
      <c r="F48" s="1"/>
      <c r="G48">
        <v>105</v>
      </c>
      <c r="H48">
        <v>335</v>
      </c>
    </row>
    <row r="49" spans="1:8" x14ac:dyDescent="0.35">
      <c r="A49" t="s">
        <v>69</v>
      </c>
      <c r="C49" t="s">
        <v>19</v>
      </c>
      <c r="D49">
        <v>78600</v>
      </c>
      <c r="E49">
        <v>1000000000</v>
      </c>
      <c r="F49" s="1">
        <v>12722.64631043257</v>
      </c>
      <c r="G49">
        <v>12.9</v>
      </c>
      <c r="H49">
        <v>164</v>
      </c>
    </row>
    <row r="50" spans="1:8" x14ac:dyDescent="0.35">
      <c r="A50" t="s">
        <v>70</v>
      </c>
      <c r="C50" t="s">
        <v>19</v>
      </c>
      <c r="D50">
        <v>1860000</v>
      </c>
      <c r="E50">
        <v>33000000000</v>
      </c>
      <c r="F50" s="1">
        <v>17741.935483870966</v>
      </c>
      <c r="G50">
        <v>344</v>
      </c>
      <c r="H50">
        <v>185</v>
      </c>
    </row>
    <row r="51" spans="1:8" x14ac:dyDescent="0.35">
      <c r="A51" t="s">
        <v>174</v>
      </c>
      <c r="C51" t="s">
        <v>19</v>
      </c>
      <c r="D51">
        <v>3700000</v>
      </c>
      <c r="E51">
        <v>201000000000</v>
      </c>
      <c r="F51" s="1">
        <v>54324.324324324327</v>
      </c>
      <c r="G51">
        <v>1200</v>
      </c>
      <c r="H51">
        <v>324</v>
      </c>
    </row>
    <row r="52" spans="1:8" x14ac:dyDescent="0.35">
      <c r="A52" t="s">
        <v>71</v>
      </c>
      <c r="C52" t="s">
        <v>19</v>
      </c>
      <c r="D52">
        <v>1330000</v>
      </c>
      <c r="E52">
        <v>9200000000</v>
      </c>
      <c r="F52" s="1">
        <v>6917.293233082707</v>
      </c>
      <c r="G52">
        <v>103</v>
      </c>
      <c r="H52">
        <v>77</v>
      </c>
    </row>
    <row r="53" spans="1:8" x14ac:dyDescent="0.35">
      <c r="A53" t="s">
        <v>72</v>
      </c>
      <c r="C53" t="s">
        <v>19</v>
      </c>
      <c r="D53">
        <v>120000</v>
      </c>
      <c r="E53">
        <v>82000000000</v>
      </c>
      <c r="F53" s="1">
        <v>683333.33333333337</v>
      </c>
      <c r="G53">
        <v>123</v>
      </c>
      <c r="H53">
        <v>1025</v>
      </c>
    </row>
    <row r="54" spans="1:8" x14ac:dyDescent="0.35">
      <c r="A54" t="s">
        <v>73</v>
      </c>
      <c r="C54" t="s">
        <v>19</v>
      </c>
      <c r="D54">
        <v>70000</v>
      </c>
      <c r="E54">
        <v>16000000000</v>
      </c>
      <c r="F54" s="1">
        <v>228571.42857142858</v>
      </c>
      <c r="G54">
        <v>46.7</v>
      </c>
      <c r="H54">
        <v>667</v>
      </c>
    </row>
    <row r="55" spans="1:8" x14ac:dyDescent="0.35">
      <c r="A55" t="s">
        <v>74</v>
      </c>
      <c r="C55" t="s">
        <v>19</v>
      </c>
      <c r="D55">
        <v>61000</v>
      </c>
      <c r="E55">
        <v>49000000000</v>
      </c>
      <c r="F55" s="1">
        <v>803278.68852459011</v>
      </c>
      <c r="G55">
        <v>141</v>
      </c>
      <c r="H55">
        <v>2311</v>
      </c>
    </row>
    <row r="56" spans="1:8" x14ac:dyDescent="0.35">
      <c r="A56" t="s">
        <v>75</v>
      </c>
      <c r="C56" t="s">
        <v>19</v>
      </c>
      <c r="D56">
        <v>148000</v>
      </c>
      <c r="F56" s="1"/>
      <c r="G56">
        <v>22.8</v>
      </c>
      <c r="H56">
        <v>154</v>
      </c>
    </row>
    <row r="57" spans="1:8" x14ac:dyDescent="0.35">
      <c r="A57" t="s">
        <v>76</v>
      </c>
      <c r="C57" t="s">
        <v>19</v>
      </c>
      <c r="D57">
        <v>757000</v>
      </c>
      <c r="E57">
        <v>87000000000</v>
      </c>
      <c r="F57" s="1">
        <v>114927.34478203434</v>
      </c>
      <c r="G57">
        <v>372</v>
      </c>
      <c r="H57">
        <v>491</v>
      </c>
    </row>
    <row r="58" spans="1:8" x14ac:dyDescent="0.35">
      <c r="A58" t="s">
        <v>77</v>
      </c>
      <c r="C58" t="s">
        <v>19</v>
      </c>
      <c r="D58">
        <v>504000</v>
      </c>
      <c r="E58">
        <v>21000000000</v>
      </c>
      <c r="F58" s="1">
        <v>41666.666666666664</v>
      </c>
      <c r="G58">
        <v>54</v>
      </c>
      <c r="H58">
        <v>103</v>
      </c>
    </row>
    <row r="59" spans="1:8" x14ac:dyDescent="0.35">
      <c r="A59" t="s">
        <v>78</v>
      </c>
      <c r="C59" t="s">
        <v>19</v>
      </c>
      <c r="D59">
        <v>66300</v>
      </c>
      <c r="F59" s="1"/>
      <c r="G59">
        <v>17.3</v>
      </c>
      <c r="H59">
        <v>261</v>
      </c>
    </row>
    <row r="60" spans="1:8" x14ac:dyDescent="0.35">
      <c r="A60" t="s">
        <v>79</v>
      </c>
      <c r="C60" t="s">
        <v>19</v>
      </c>
      <c r="D60">
        <v>132000</v>
      </c>
      <c r="F60" s="1"/>
      <c r="G60">
        <v>66</v>
      </c>
      <c r="H60">
        <v>500</v>
      </c>
    </row>
    <row r="61" spans="1:8" x14ac:dyDescent="0.35">
      <c r="A61" t="s">
        <v>80</v>
      </c>
      <c r="C61" t="s">
        <v>19</v>
      </c>
      <c r="D61">
        <v>112000</v>
      </c>
      <c r="F61" s="1"/>
      <c r="G61">
        <v>18.3</v>
      </c>
      <c r="H61">
        <v>163</v>
      </c>
    </row>
    <row r="62" spans="1:8" x14ac:dyDescent="0.35">
      <c r="A62" t="s">
        <v>81</v>
      </c>
      <c r="C62" t="s">
        <v>19</v>
      </c>
      <c r="D62">
        <v>84000</v>
      </c>
      <c r="F62" s="1"/>
      <c r="G62">
        <v>17.399999999999999</v>
      </c>
      <c r="H62">
        <v>207</v>
      </c>
    </row>
    <row r="63" spans="1:8" x14ac:dyDescent="0.35">
      <c r="A63" t="s">
        <v>82</v>
      </c>
      <c r="C63" t="s">
        <v>19</v>
      </c>
      <c r="D63">
        <v>98200</v>
      </c>
      <c r="F63" s="1"/>
      <c r="G63">
        <v>19.600000000000001</v>
      </c>
      <c r="H63">
        <v>200</v>
      </c>
    </row>
    <row r="64" spans="1:8" x14ac:dyDescent="0.35">
      <c r="A64" t="s">
        <v>180</v>
      </c>
      <c r="B64" t="s">
        <v>179</v>
      </c>
      <c r="C64" t="s">
        <v>185</v>
      </c>
      <c r="D64">
        <v>930</v>
      </c>
      <c r="E64">
        <v>5570000000</v>
      </c>
      <c r="F64" s="1">
        <v>5990000</v>
      </c>
      <c r="G64">
        <v>2361270</v>
      </c>
      <c r="H64">
        <v>2539</v>
      </c>
    </row>
    <row r="65" spans="1:8" x14ac:dyDescent="0.35">
      <c r="A65" t="s">
        <v>181</v>
      </c>
      <c r="B65" t="s">
        <v>179</v>
      </c>
      <c r="C65" t="s">
        <v>182</v>
      </c>
      <c r="D65">
        <v>5618</v>
      </c>
      <c r="E65">
        <v>22590000000</v>
      </c>
      <c r="F65" s="1">
        <v>3580000</v>
      </c>
      <c r="G65">
        <v>11831508</v>
      </c>
      <c r="H65">
        <v>2106</v>
      </c>
    </row>
    <row r="66" spans="1:8" x14ac:dyDescent="0.35">
      <c r="A66" t="s">
        <v>334</v>
      </c>
      <c r="B66" t="s">
        <v>184</v>
      </c>
      <c r="C66" t="s">
        <v>185</v>
      </c>
      <c r="D66">
        <v>47</v>
      </c>
      <c r="F66" s="1">
        <v>1590509.9</v>
      </c>
      <c r="G66">
        <v>48880</v>
      </c>
      <c r="H66">
        <v>1040</v>
      </c>
    </row>
    <row r="67" spans="1:8" x14ac:dyDescent="0.35">
      <c r="A67" t="s">
        <v>332</v>
      </c>
      <c r="B67" t="s">
        <v>455</v>
      </c>
      <c r="C67" t="s">
        <v>165</v>
      </c>
      <c r="D67">
        <v>945000</v>
      </c>
      <c r="E67">
        <v>749811810000</v>
      </c>
      <c r="F67" s="1">
        <v>793451.65079365077</v>
      </c>
    </row>
    <row r="68" spans="1:8" x14ac:dyDescent="0.35">
      <c r="A68" t="s">
        <v>86</v>
      </c>
      <c r="B68" t="s">
        <v>87</v>
      </c>
      <c r="C68" t="s">
        <v>83</v>
      </c>
      <c r="D68">
        <v>21</v>
      </c>
      <c r="E68">
        <v>21420000</v>
      </c>
      <c r="F68" s="1">
        <v>1020000</v>
      </c>
      <c r="G68">
        <v>34692</v>
      </c>
      <c r="H68">
        <v>1652</v>
      </c>
    </row>
    <row r="69" spans="1:8" x14ac:dyDescent="0.35">
      <c r="A69" t="s">
        <v>89</v>
      </c>
      <c r="B69" t="s">
        <v>87</v>
      </c>
      <c r="C69" t="s">
        <v>83</v>
      </c>
      <c r="D69">
        <v>31</v>
      </c>
      <c r="E69">
        <v>47120000</v>
      </c>
      <c r="F69" s="1">
        <v>1520000</v>
      </c>
      <c r="G69">
        <v>91450</v>
      </c>
      <c r="H69">
        <v>2950</v>
      </c>
    </row>
    <row r="70" spans="1:8" x14ac:dyDescent="0.35">
      <c r="A70" t="s">
        <v>90</v>
      </c>
      <c r="B70" t="s">
        <v>87</v>
      </c>
      <c r="C70" t="s">
        <v>83</v>
      </c>
      <c r="D70">
        <v>3</v>
      </c>
      <c r="E70">
        <v>1719000</v>
      </c>
      <c r="F70" s="1">
        <v>573000</v>
      </c>
      <c r="G70">
        <v>4731</v>
      </c>
      <c r="H70">
        <v>1577</v>
      </c>
    </row>
    <row r="71" spans="1:8" x14ac:dyDescent="0.35">
      <c r="A71" t="s">
        <v>91</v>
      </c>
      <c r="B71" t="s">
        <v>87</v>
      </c>
      <c r="C71" t="s">
        <v>83</v>
      </c>
      <c r="D71">
        <v>0.8</v>
      </c>
      <c r="E71">
        <v>152000</v>
      </c>
      <c r="F71" s="1">
        <v>190000</v>
      </c>
      <c r="G71">
        <v>452</v>
      </c>
      <c r="H71">
        <v>565</v>
      </c>
    </row>
    <row r="72" spans="1:8" x14ac:dyDescent="0.35">
      <c r="A72" t="s">
        <v>92</v>
      </c>
      <c r="B72" t="s">
        <v>87</v>
      </c>
      <c r="C72" t="s">
        <v>83</v>
      </c>
      <c r="D72">
        <v>70</v>
      </c>
      <c r="E72">
        <v>110600000</v>
      </c>
      <c r="F72" s="1">
        <v>1580000</v>
      </c>
      <c r="G72">
        <v>175770</v>
      </c>
      <c r="H72">
        <v>2511</v>
      </c>
    </row>
    <row r="73" spans="1:8" x14ac:dyDescent="0.35">
      <c r="A73" t="s">
        <v>93</v>
      </c>
      <c r="B73" t="s">
        <v>87</v>
      </c>
      <c r="C73" t="s">
        <v>83</v>
      </c>
      <c r="D73">
        <v>3.4</v>
      </c>
      <c r="E73">
        <v>2363000</v>
      </c>
      <c r="F73" s="1">
        <v>695000</v>
      </c>
      <c r="G73">
        <v>632.4</v>
      </c>
      <c r="H73">
        <v>186</v>
      </c>
    </row>
    <row r="74" spans="1:8" x14ac:dyDescent="0.35">
      <c r="A74" t="s">
        <v>94</v>
      </c>
      <c r="B74" t="s">
        <v>87</v>
      </c>
      <c r="C74" t="s">
        <v>83</v>
      </c>
      <c r="D74">
        <v>12</v>
      </c>
      <c r="E74">
        <v>4272000</v>
      </c>
      <c r="F74" s="1">
        <v>356000</v>
      </c>
      <c r="G74">
        <v>10620</v>
      </c>
      <c r="H74">
        <v>885</v>
      </c>
    </row>
    <row r="75" spans="1:8" x14ac:dyDescent="0.35">
      <c r="A75" t="s">
        <v>95</v>
      </c>
      <c r="B75" t="s">
        <v>87</v>
      </c>
      <c r="C75" t="s">
        <v>83</v>
      </c>
      <c r="D75">
        <v>6.5</v>
      </c>
      <c r="E75">
        <v>5921500</v>
      </c>
      <c r="F75" s="1">
        <v>911000</v>
      </c>
      <c r="G75">
        <v>11459.5</v>
      </c>
      <c r="H75">
        <v>1763</v>
      </c>
    </row>
    <row r="76" spans="1:8" x14ac:dyDescent="0.35">
      <c r="A76" t="s">
        <v>96</v>
      </c>
      <c r="B76" t="s">
        <v>87</v>
      </c>
      <c r="C76" t="s">
        <v>83</v>
      </c>
      <c r="D76">
        <v>18</v>
      </c>
      <c r="E76">
        <v>25380000</v>
      </c>
      <c r="F76" s="1">
        <v>1410000</v>
      </c>
      <c r="G76">
        <v>37836</v>
      </c>
      <c r="H76">
        <v>2102</v>
      </c>
    </row>
    <row r="77" spans="1:8" x14ac:dyDescent="0.35">
      <c r="A77" t="s">
        <v>97</v>
      </c>
      <c r="B77" t="s">
        <v>87</v>
      </c>
      <c r="C77" t="s">
        <v>83</v>
      </c>
      <c r="D77">
        <v>20</v>
      </c>
      <c r="E77">
        <v>17320000</v>
      </c>
      <c r="F77" s="1">
        <v>866000</v>
      </c>
      <c r="G77">
        <v>63200</v>
      </c>
      <c r="H77">
        <v>3160</v>
      </c>
    </row>
    <row r="78" spans="1:8" x14ac:dyDescent="0.35">
      <c r="A78" t="s">
        <v>98</v>
      </c>
      <c r="B78" t="s">
        <v>87</v>
      </c>
      <c r="C78" t="s">
        <v>83</v>
      </c>
      <c r="D78">
        <v>25</v>
      </c>
      <c r="E78">
        <v>13300000</v>
      </c>
      <c r="F78" s="1">
        <v>532000</v>
      </c>
      <c r="G78">
        <v>36800</v>
      </c>
      <c r="H78">
        <v>1472</v>
      </c>
    </row>
    <row r="79" spans="1:8" x14ac:dyDescent="0.35">
      <c r="A79" t="s">
        <v>99</v>
      </c>
      <c r="B79" t="s">
        <v>84</v>
      </c>
      <c r="C79" t="s">
        <v>182</v>
      </c>
      <c r="D79">
        <v>705</v>
      </c>
      <c r="E79">
        <v>600660000</v>
      </c>
      <c r="F79" s="1">
        <v>852000</v>
      </c>
      <c r="G79">
        <v>1.0729363679999999</v>
      </c>
      <c r="H79">
        <v>1521.8955574468084</v>
      </c>
    </row>
    <row r="80" spans="1:8" x14ac:dyDescent="0.35">
      <c r="A80" t="s">
        <v>101</v>
      </c>
      <c r="B80" t="s">
        <v>84</v>
      </c>
      <c r="C80" t="s">
        <v>182</v>
      </c>
      <c r="D80">
        <v>200</v>
      </c>
      <c r="E80">
        <v>478000000</v>
      </c>
      <c r="F80" s="1">
        <v>2390000</v>
      </c>
      <c r="G80">
        <v>0.60273778320000004</v>
      </c>
      <c r="H80">
        <v>3013.6889160000005</v>
      </c>
    </row>
    <row r="81" spans="1:8" x14ac:dyDescent="0.35">
      <c r="A81" t="s">
        <v>102</v>
      </c>
      <c r="B81" t="s">
        <v>84</v>
      </c>
      <c r="C81" t="s">
        <v>182</v>
      </c>
      <c r="D81">
        <v>11</v>
      </c>
      <c r="E81">
        <v>32230000</v>
      </c>
      <c r="F81" s="1">
        <v>2930000</v>
      </c>
      <c r="G81">
        <v>4.7335427999999999E-2</v>
      </c>
      <c r="H81">
        <v>4303.2207272727273</v>
      </c>
    </row>
    <row r="82" spans="1:8" x14ac:dyDescent="0.35">
      <c r="A82" t="s">
        <v>103</v>
      </c>
      <c r="B82" t="s">
        <v>84</v>
      </c>
      <c r="C82" t="s">
        <v>182</v>
      </c>
      <c r="D82">
        <v>80</v>
      </c>
      <c r="E82">
        <v>17360000</v>
      </c>
      <c r="F82" s="1">
        <v>217000</v>
      </c>
      <c r="G82">
        <v>1.8934171199999999E-2</v>
      </c>
      <c r="H82">
        <v>236.67713999999995</v>
      </c>
    </row>
    <row r="83" spans="1:8" x14ac:dyDescent="0.35">
      <c r="A83" t="s">
        <v>104</v>
      </c>
      <c r="B83" t="s">
        <v>84</v>
      </c>
      <c r="C83" t="s">
        <v>182</v>
      </c>
      <c r="D83">
        <v>47</v>
      </c>
      <c r="E83">
        <v>84600000</v>
      </c>
      <c r="F83" s="1">
        <v>1800000</v>
      </c>
      <c r="G83">
        <v>8.8359465599999992E-2</v>
      </c>
      <c r="H83">
        <v>1879.988629787234</v>
      </c>
    </row>
    <row r="84" spans="1:8" x14ac:dyDescent="0.35">
      <c r="A84" t="s">
        <v>105</v>
      </c>
      <c r="B84" t="s">
        <v>84</v>
      </c>
      <c r="C84" t="s">
        <v>182</v>
      </c>
      <c r="D84">
        <v>202</v>
      </c>
      <c r="E84">
        <v>238360000</v>
      </c>
      <c r="F84" s="1">
        <v>1180000</v>
      </c>
      <c r="G84">
        <v>0.22089866399999999</v>
      </c>
      <c r="H84">
        <v>1093.5577425742574</v>
      </c>
    </row>
    <row r="85" spans="1:8" x14ac:dyDescent="0.35">
      <c r="A85" t="s">
        <v>106</v>
      </c>
      <c r="B85" t="s">
        <v>84</v>
      </c>
      <c r="C85" t="s">
        <v>182</v>
      </c>
      <c r="D85">
        <v>88</v>
      </c>
      <c r="E85">
        <v>147840000</v>
      </c>
      <c r="F85" s="1">
        <v>1680000</v>
      </c>
      <c r="G85">
        <v>0.1640961504</v>
      </c>
      <c r="H85">
        <v>1864.7289818181819</v>
      </c>
    </row>
    <row r="86" spans="1:8" x14ac:dyDescent="0.35">
      <c r="A86" t="s">
        <v>107</v>
      </c>
      <c r="B86" t="s">
        <v>84</v>
      </c>
      <c r="C86" t="s">
        <v>182</v>
      </c>
      <c r="D86">
        <v>462</v>
      </c>
      <c r="E86">
        <v>212520000</v>
      </c>
      <c r="F86" s="1">
        <v>460000</v>
      </c>
      <c r="G86">
        <v>0.73527698159999999</v>
      </c>
      <c r="H86">
        <v>1591.5086181818181</v>
      </c>
    </row>
    <row r="87" spans="1:8" x14ac:dyDescent="0.35">
      <c r="A87" t="s">
        <v>108</v>
      </c>
      <c r="B87" t="s">
        <v>84</v>
      </c>
      <c r="C87" t="s">
        <v>182</v>
      </c>
      <c r="D87">
        <v>192</v>
      </c>
      <c r="E87">
        <v>24576000</v>
      </c>
      <c r="F87" s="1">
        <v>128000</v>
      </c>
      <c r="G87">
        <v>4.7335427999999999E-2</v>
      </c>
      <c r="H87">
        <v>246.53868750000001</v>
      </c>
    </row>
    <row r="88" spans="1:8" x14ac:dyDescent="0.35">
      <c r="A88" t="s">
        <v>109</v>
      </c>
      <c r="B88" t="s">
        <v>84</v>
      </c>
      <c r="C88" t="s">
        <v>182</v>
      </c>
      <c r="D88">
        <v>6643</v>
      </c>
      <c r="E88">
        <v>5653193000</v>
      </c>
      <c r="F88" s="1">
        <v>851000</v>
      </c>
      <c r="G88">
        <v>6.7531877279999994</v>
      </c>
      <c r="H88">
        <v>1016.5870432033719</v>
      </c>
    </row>
    <row r="89" spans="1:8" x14ac:dyDescent="0.35">
      <c r="A89" t="s">
        <v>110</v>
      </c>
      <c r="B89" t="s">
        <v>84</v>
      </c>
      <c r="C89" t="s">
        <v>182</v>
      </c>
      <c r="D89">
        <v>1917</v>
      </c>
      <c r="E89">
        <v>1249884000</v>
      </c>
      <c r="F89" s="1">
        <v>652000</v>
      </c>
      <c r="G89">
        <v>1.2559666895999999</v>
      </c>
      <c r="H89">
        <v>655.17302535211263</v>
      </c>
    </row>
    <row r="90" spans="1:8" x14ac:dyDescent="0.35">
      <c r="A90" t="s">
        <v>111</v>
      </c>
      <c r="B90" t="s">
        <v>84</v>
      </c>
      <c r="C90" t="s">
        <v>182</v>
      </c>
      <c r="D90">
        <v>2684</v>
      </c>
      <c r="E90">
        <v>928664000</v>
      </c>
      <c r="F90" s="1">
        <v>346000</v>
      </c>
      <c r="G90">
        <v>1.9880879759999999</v>
      </c>
      <c r="H90">
        <v>740.71832190760051</v>
      </c>
    </row>
    <row r="91" spans="1:8" x14ac:dyDescent="0.35">
      <c r="A91" t="s">
        <v>112</v>
      </c>
      <c r="B91" t="s">
        <v>84</v>
      </c>
      <c r="C91" t="s">
        <v>182</v>
      </c>
      <c r="D91">
        <v>305</v>
      </c>
      <c r="E91">
        <v>266875000</v>
      </c>
      <c r="F91" s="1">
        <v>875000</v>
      </c>
      <c r="G91">
        <v>1.009822464</v>
      </c>
      <c r="H91">
        <v>3310.8933245901635</v>
      </c>
    </row>
    <row r="92" spans="1:8" x14ac:dyDescent="0.35">
      <c r="A92" t="s">
        <v>113</v>
      </c>
      <c r="B92" t="s">
        <v>114</v>
      </c>
      <c r="C92" t="s">
        <v>83</v>
      </c>
      <c r="D92">
        <v>1628</v>
      </c>
      <c r="E92">
        <v>2279200000</v>
      </c>
      <c r="F92" s="1">
        <v>1400000</v>
      </c>
    </row>
    <row r="93" spans="1:8" x14ac:dyDescent="0.35">
      <c r="A93" t="s">
        <v>116</v>
      </c>
      <c r="B93" t="s">
        <v>114</v>
      </c>
      <c r="C93" t="s">
        <v>83</v>
      </c>
      <c r="D93">
        <v>1128</v>
      </c>
      <c r="E93">
        <v>1240800000</v>
      </c>
      <c r="F93" s="1">
        <v>1100000</v>
      </c>
    </row>
    <row r="94" spans="1:8" x14ac:dyDescent="0.35">
      <c r="A94" t="s">
        <v>117</v>
      </c>
      <c r="B94" t="s">
        <v>118</v>
      </c>
      <c r="C94" t="s">
        <v>83</v>
      </c>
      <c r="F94" s="1">
        <v>1350000</v>
      </c>
    </row>
    <row r="95" spans="1:8" x14ac:dyDescent="0.35">
      <c r="A95" t="s">
        <v>120</v>
      </c>
      <c r="B95" t="s">
        <v>118</v>
      </c>
      <c r="C95" t="s">
        <v>83</v>
      </c>
      <c r="F95" s="1">
        <v>1500000</v>
      </c>
    </row>
    <row r="96" spans="1:8" x14ac:dyDescent="0.35">
      <c r="A96" t="s">
        <v>121</v>
      </c>
      <c r="B96" t="s">
        <v>118</v>
      </c>
      <c r="C96" t="s">
        <v>83</v>
      </c>
      <c r="F96" s="1">
        <v>2540000</v>
      </c>
    </row>
    <row r="97" spans="1:6" x14ac:dyDescent="0.35">
      <c r="A97" t="s">
        <v>122</v>
      </c>
      <c r="B97" t="s">
        <v>118</v>
      </c>
      <c r="C97" t="s">
        <v>83</v>
      </c>
      <c r="F97" s="1">
        <v>1110000</v>
      </c>
    </row>
    <row r="98" spans="1:6" x14ac:dyDescent="0.35">
      <c r="A98" t="s">
        <v>123</v>
      </c>
      <c r="B98" t="s">
        <v>118</v>
      </c>
      <c r="C98" t="s">
        <v>83</v>
      </c>
      <c r="F98" s="1">
        <v>1470000</v>
      </c>
    </row>
    <row r="99" spans="1:6" x14ac:dyDescent="0.35">
      <c r="A99" t="s">
        <v>124</v>
      </c>
      <c r="B99" t="s">
        <v>118</v>
      </c>
      <c r="C99" t="s">
        <v>83</v>
      </c>
      <c r="F99" s="1">
        <v>1320000</v>
      </c>
    </row>
    <row r="100" spans="1:6" x14ac:dyDescent="0.35">
      <c r="A100" t="s">
        <v>125</v>
      </c>
      <c r="B100" t="s">
        <v>118</v>
      </c>
      <c r="C100" t="s">
        <v>83</v>
      </c>
      <c r="F100" s="1">
        <v>1000000</v>
      </c>
    </row>
    <row r="101" spans="1:6" x14ac:dyDescent="0.35">
      <c r="A101" t="s">
        <v>126</v>
      </c>
      <c r="B101" t="s">
        <v>118</v>
      </c>
      <c r="C101" t="s">
        <v>83</v>
      </c>
      <c r="F101" s="1">
        <v>1640000</v>
      </c>
    </row>
    <row r="102" spans="1:6" x14ac:dyDescent="0.35">
      <c r="A102" t="s">
        <v>124</v>
      </c>
      <c r="B102" t="s">
        <v>118</v>
      </c>
      <c r="C102" t="s">
        <v>83</v>
      </c>
      <c r="F102" s="1">
        <v>1410000</v>
      </c>
    </row>
    <row r="103" spans="1:6" x14ac:dyDescent="0.35">
      <c r="A103" t="s">
        <v>127</v>
      </c>
      <c r="B103" t="s">
        <v>118</v>
      </c>
      <c r="C103" t="s">
        <v>83</v>
      </c>
      <c r="F103" s="1">
        <v>1280000</v>
      </c>
    </row>
    <row r="104" spans="1:6" x14ac:dyDescent="0.35">
      <c r="A104" t="s">
        <v>128</v>
      </c>
      <c r="B104" t="s">
        <v>118</v>
      </c>
      <c r="C104" t="s">
        <v>83</v>
      </c>
      <c r="F104" s="1">
        <v>1710000</v>
      </c>
    </row>
    <row r="105" spans="1:6" x14ac:dyDescent="0.35">
      <c r="A105" t="s">
        <v>129</v>
      </c>
      <c r="B105" t="s">
        <v>118</v>
      </c>
      <c r="C105" t="s">
        <v>83</v>
      </c>
      <c r="F105" s="1">
        <v>770000</v>
      </c>
    </row>
    <row r="106" spans="1:6" x14ac:dyDescent="0.35">
      <c r="A106" t="s">
        <v>130</v>
      </c>
      <c r="B106" t="s">
        <v>118</v>
      </c>
      <c r="C106" t="s">
        <v>83</v>
      </c>
      <c r="F106" s="1">
        <v>860000</v>
      </c>
    </row>
    <row r="107" spans="1:6" x14ac:dyDescent="0.35">
      <c r="A107" t="s">
        <v>131</v>
      </c>
      <c r="B107" t="s">
        <v>118</v>
      </c>
      <c r="C107" t="s">
        <v>83</v>
      </c>
      <c r="F107" s="1">
        <v>760000</v>
      </c>
    </row>
    <row r="108" spans="1:6" x14ac:dyDescent="0.35">
      <c r="A108" t="s">
        <v>125</v>
      </c>
      <c r="B108" t="s">
        <v>118</v>
      </c>
      <c r="C108" t="s">
        <v>83</v>
      </c>
      <c r="F108" s="1">
        <v>630000</v>
      </c>
    </row>
    <row r="109" spans="1:6" x14ac:dyDescent="0.35">
      <c r="A109" t="s">
        <v>132</v>
      </c>
      <c r="B109" t="s">
        <v>118</v>
      </c>
      <c r="C109" t="s">
        <v>83</v>
      </c>
      <c r="F109" s="1">
        <v>1380000</v>
      </c>
    </row>
    <row r="110" spans="1:6" x14ac:dyDescent="0.35">
      <c r="A110" t="s">
        <v>133</v>
      </c>
      <c r="B110" t="s">
        <v>118</v>
      </c>
      <c r="C110" t="s">
        <v>83</v>
      </c>
      <c r="F110" s="1">
        <v>1020000</v>
      </c>
    </row>
    <row r="111" spans="1:6" x14ac:dyDescent="0.35">
      <c r="A111" t="s">
        <v>134</v>
      </c>
      <c r="B111" t="s">
        <v>118</v>
      </c>
      <c r="C111" t="s">
        <v>83</v>
      </c>
      <c r="F111" s="1">
        <v>1250000</v>
      </c>
    </row>
    <row r="112" spans="1:6" x14ac:dyDescent="0.35">
      <c r="A112" t="s">
        <v>135</v>
      </c>
      <c r="B112" t="s">
        <v>118</v>
      </c>
      <c r="C112" t="s">
        <v>83</v>
      </c>
      <c r="F112" s="1">
        <v>950000</v>
      </c>
    </row>
    <row r="113" spans="1:8" x14ac:dyDescent="0.35">
      <c r="A113" t="s">
        <v>136</v>
      </c>
      <c r="B113" t="s">
        <v>118</v>
      </c>
      <c r="C113" t="s">
        <v>83</v>
      </c>
      <c r="D113">
        <v>500000</v>
      </c>
      <c r="E113">
        <v>630000000000</v>
      </c>
      <c r="F113" s="1">
        <v>1260000</v>
      </c>
      <c r="G113">
        <v>231.5</v>
      </c>
      <c r="H113">
        <v>463</v>
      </c>
    </row>
    <row r="114" spans="1:8" x14ac:dyDescent="0.35">
      <c r="A114" t="s">
        <v>137</v>
      </c>
      <c r="B114" t="s">
        <v>138</v>
      </c>
      <c r="C114" t="s">
        <v>83</v>
      </c>
      <c r="D114">
        <v>346</v>
      </c>
      <c r="E114">
        <v>138400000</v>
      </c>
      <c r="F114" s="1">
        <v>400000</v>
      </c>
      <c r="G114">
        <v>0.19549</v>
      </c>
      <c r="H114">
        <v>565</v>
      </c>
    </row>
    <row r="115" spans="1:8" x14ac:dyDescent="0.35">
      <c r="A115" t="s">
        <v>140</v>
      </c>
      <c r="B115" t="s">
        <v>141</v>
      </c>
      <c r="C115" t="s">
        <v>83</v>
      </c>
      <c r="D115">
        <v>95</v>
      </c>
      <c r="E115">
        <v>142500000</v>
      </c>
      <c r="F115" s="1">
        <v>1500000</v>
      </c>
      <c r="G115">
        <v>6.0325000000000004E-2</v>
      </c>
      <c r="H115">
        <v>635</v>
      </c>
    </row>
    <row r="116" spans="1:8" x14ac:dyDescent="0.35">
      <c r="A116" t="s">
        <v>142</v>
      </c>
      <c r="B116" t="s">
        <v>141</v>
      </c>
      <c r="C116" t="s">
        <v>83</v>
      </c>
      <c r="D116">
        <v>145</v>
      </c>
      <c r="E116">
        <v>319000000</v>
      </c>
      <c r="F116" s="1">
        <v>2200000</v>
      </c>
      <c r="G116">
        <v>0.1885</v>
      </c>
      <c r="H116">
        <v>1300</v>
      </c>
    </row>
    <row r="117" spans="1:8" x14ac:dyDescent="0.35">
      <c r="A117" t="s">
        <v>143</v>
      </c>
      <c r="B117" t="s">
        <v>141</v>
      </c>
      <c r="C117" t="s">
        <v>83</v>
      </c>
      <c r="D117">
        <v>114</v>
      </c>
      <c r="E117">
        <v>239400000</v>
      </c>
      <c r="F117" s="1">
        <v>2100000</v>
      </c>
      <c r="G117">
        <v>0.14250000000000002</v>
      </c>
      <c r="H117">
        <v>1250</v>
      </c>
    </row>
    <row r="118" spans="1:8" x14ac:dyDescent="0.35">
      <c r="A118" t="s">
        <v>144</v>
      </c>
      <c r="B118" t="s">
        <v>141</v>
      </c>
      <c r="C118" t="s">
        <v>83</v>
      </c>
      <c r="D118">
        <v>33</v>
      </c>
      <c r="E118">
        <v>69300000</v>
      </c>
      <c r="F118" s="1">
        <v>2100000</v>
      </c>
      <c r="G118">
        <v>8.1509999999999999E-2</v>
      </c>
      <c r="H118">
        <v>2470</v>
      </c>
    </row>
    <row r="119" spans="1:8" x14ac:dyDescent="0.35">
      <c r="A119" t="s">
        <v>145</v>
      </c>
      <c r="B119" t="s">
        <v>141</v>
      </c>
      <c r="C119" t="s">
        <v>83</v>
      </c>
      <c r="D119">
        <v>32</v>
      </c>
      <c r="E119">
        <v>140800000</v>
      </c>
      <c r="F119" s="1">
        <v>4400000</v>
      </c>
      <c r="G119">
        <v>0.22592000000000001</v>
      </c>
      <c r="H119">
        <v>7060</v>
      </c>
    </row>
    <row r="120" spans="1:8" x14ac:dyDescent="0.35">
      <c r="A120" t="s">
        <v>146</v>
      </c>
      <c r="B120" t="s">
        <v>141</v>
      </c>
      <c r="C120" t="s">
        <v>83</v>
      </c>
      <c r="D120">
        <v>109</v>
      </c>
      <c r="E120">
        <v>141700000</v>
      </c>
      <c r="F120" s="1">
        <v>1300000</v>
      </c>
      <c r="G120">
        <v>0.20491999999999999</v>
      </c>
      <c r="H120">
        <v>1880</v>
      </c>
    </row>
    <row r="121" spans="1:8" x14ac:dyDescent="0.35">
      <c r="A121" t="s">
        <v>147</v>
      </c>
      <c r="C121" t="s">
        <v>83</v>
      </c>
      <c r="D121">
        <v>807000</v>
      </c>
      <c r="E121">
        <v>121000000000</v>
      </c>
      <c r="F121" s="1">
        <v>150000</v>
      </c>
      <c r="G121">
        <v>104.10299999999999</v>
      </c>
      <c r="H121">
        <v>129</v>
      </c>
    </row>
    <row r="122" spans="1:8" x14ac:dyDescent="0.35">
      <c r="A122" t="s">
        <v>149</v>
      </c>
      <c r="C122" t="s">
        <v>83</v>
      </c>
      <c r="D122">
        <v>796000</v>
      </c>
      <c r="E122">
        <v>53000000000</v>
      </c>
      <c r="F122" s="1">
        <v>66600</v>
      </c>
      <c r="G122">
        <v>319.99200000000002</v>
      </c>
      <c r="H122">
        <v>402</v>
      </c>
    </row>
    <row r="123" spans="1:8" x14ac:dyDescent="0.35">
      <c r="A123" t="s">
        <v>45</v>
      </c>
      <c r="C123" t="s">
        <v>83</v>
      </c>
      <c r="D123">
        <v>568000</v>
      </c>
      <c r="E123">
        <v>318000000000</v>
      </c>
      <c r="F123" s="1">
        <v>560000</v>
      </c>
      <c r="G123">
        <v>282.86399999999998</v>
      </c>
      <c r="H123">
        <v>498</v>
      </c>
    </row>
    <row r="124" spans="1:8" x14ac:dyDescent="0.35">
      <c r="A124" t="s">
        <v>150</v>
      </c>
      <c r="C124" t="s">
        <v>83</v>
      </c>
      <c r="D124">
        <v>538000</v>
      </c>
      <c r="E124">
        <v>1030000000000</v>
      </c>
      <c r="F124" s="1">
        <v>1920000</v>
      </c>
      <c r="G124">
        <v>738.13599999999997</v>
      </c>
      <c r="H124">
        <v>1372</v>
      </c>
    </row>
    <row r="125" spans="1:8" x14ac:dyDescent="0.35">
      <c r="A125" t="s">
        <v>151</v>
      </c>
      <c r="C125" t="s">
        <v>83</v>
      </c>
      <c r="D125">
        <v>532000</v>
      </c>
      <c r="E125">
        <v>392000000000</v>
      </c>
      <c r="F125" s="1">
        <v>737000</v>
      </c>
      <c r="G125">
        <v>225.56800000000001</v>
      </c>
      <c r="H125">
        <v>424</v>
      </c>
    </row>
    <row r="126" spans="1:8" x14ac:dyDescent="0.35">
      <c r="A126" t="s">
        <v>152</v>
      </c>
      <c r="C126" t="s">
        <v>83</v>
      </c>
      <c r="D126">
        <v>373000</v>
      </c>
      <c r="E126">
        <v>151000000000</v>
      </c>
      <c r="F126" s="1">
        <v>405000</v>
      </c>
      <c r="G126">
        <v>272.66300000000001</v>
      </c>
      <c r="H126">
        <v>731</v>
      </c>
    </row>
    <row r="127" spans="1:8" x14ac:dyDescent="0.35">
      <c r="A127" t="s">
        <v>153</v>
      </c>
      <c r="C127" t="s">
        <v>83</v>
      </c>
      <c r="D127">
        <v>327000</v>
      </c>
      <c r="E127">
        <v>47000000000</v>
      </c>
      <c r="F127" s="1">
        <v>144000</v>
      </c>
      <c r="G127">
        <v>57.552</v>
      </c>
      <c r="H127">
        <v>176</v>
      </c>
    </row>
    <row r="128" spans="1:8" x14ac:dyDescent="0.35">
      <c r="A128" t="s">
        <v>154</v>
      </c>
      <c r="C128" t="s">
        <v>83</v>
      </c>
      <c r="D128">
        <v>309000</v>
      </c>
      <c r="E128">
        <v>356000000000</v>
      </c>
      <c r="F128" s="1">
        <v>1150000</v>
      </c>
      <c r="G128">
        <v>235.767</v>
      </c>
      <c r="H128">
        <v>763</v>
      </c>
    </row>
    <row r="129" spans="1:8" x14ac:dyDescent="0.35">
      <c r="A129" t="s">
        <v>155</v>
      </c>
      <c r="C129" t="s">
        <v>83</v>
      </c>
      <c r="D129">
        <v>219000</v>
      </c>
      <c r="E129">
        <v>1000000000</v>
      </c>
      <c r="F129" s="1">
        <v>4570</v>
      </c>
      <c r="G129">
        <v>0.876</v>
      </c>
      <c r="H129">
        <v>4</v>
      </c>
    </row>
    <row r="130" spans="1:8" x14ac:dyDescent="0.35">
      <c r="A130" t="s">
        <v>156</v>
      </c>
      <c r="C130" t="s">
        <v>83</v>
      </c>
      <c r="D130">
        <v>216000</v>
      </c>
      <c r="E130">
        <v>24000000000</v>
      </c>
      <c r="F130" s="1">
        <v>111000</v>
      </c>
      <c r="G130">
        <v>22.032</v>
      </c>
      <c r="H130">
        <v>102</v>
      </c>
    </row>
    <row r="131" spans="1:8" x14ac:dyDescent="0.35">
      <c r="A131" t="s">
        <v>157</v>
      </c>
      <c r="C131" t="s">
        <v>83</v>
      </c>
      <c r="D131">
        <v>209000</v>
      </c>
      <c r="E131">
        <v>18000000000</v>
      </c>
      <c r="F131" s="1">
        <v>86100</v>
      </c>
      <c r="G131">
        <v>31.559000000000001</v>
      </c>
      <c r="H131">
        <v>151</v>
      </c>
    </row>
    <row r="132" spans="1:8" x14ac:dyDescent="0.35">
      <c r="A132" t="s">
        <v>85</v>
      </c>
      <c r="C132" t="s">
        <v>83</v>
      </c>
      <c r="D132">
        <v>173000</v>
      </c>
      <c r="E132">
        <v>31000000000</v>
      </c>
      <c r="F132" s="1">
        <v>179000</v>
      </c>
      <c r="G132">
        <v>129.75</v>
      </c>
      <c r="H132">
        <v>750</v>
      </c>
    </row>
    <row r="133" spans="1:8" x14ac:dyDescent="0.35">
      <c r="A133" t="s">
        <v>158</v>
      </c>
      <c r="C133" t="s">
        <v>83</v>
      </c>
      <c r="D133">
        <v>154000</v>
      </c>
      <c r="E133">
        <v>34000000000</v>
      </c>
      <c r="F133" s="1">
        <v>221000</v>
      </c>
      <c r="G133">
        <v>57.134</v>
      </c>
      <c r="H133">
        <v>371</v>
      </c>
    </row>
    <row r="134" spans="1:8" x14ac:dyDescent="0.35">
      <c r="A134" t="s">
        <v>159</v>
      </c>
      <c r="C134" t="s">
        <v>83</v>
      </c>
      <c r="D134">
        <v>105000</v>
      </c>
      <c r="E134">
        <v>70000000000</v>
      </c>
      <c r="F134" s="1">
        <v>667000</v>
      </c>
      <c r="G134">
        <v>198.345</v>
      </c>
      <c r="H134">
        <v>1889</v>
      </c>
    </row>
    <row r="135" spans="1:8" x14ac:dyDescent="0.35">
      <c r="A135" t="s">
        <v>160</v>
      </c>
      <c r="C135" t="s">
        <v>83</v>
      </c>
      <c r="D135">
        <v>99000</v>
      </c>
      <c r="E135">
        <v>4000000000</v>
      </c>
      <c r="F135" s="1">
        <v>40400</v>
      </c>
      <c r="G135">
        <v>36.036000000000001</v>
      </c>
      <c r="H135">
        <v>364</v>
      </c>
    </row>
    <row r="136" spans="1:8" x14ac:dyDescent="0.35">
      <c r="A136" t="s">
        <v>161</v>
      </c>
      <c r="C136" t="s">
        <v>83</v>
      </c>
      <c r="D136">
        <v>81000</v>
      </c>
      <c r="E136">
        <v>17000000000</v>
      </c>
      <c r="F136" s="1">
        <v>210000</v>
      </c>
      <c r="G136">
        <v>32.724000000000004</v>
      </c>
      <c r="H136">
        <v>404</v>
      </c>
    </row>
    <row r="137" spans="1:8" x14ac:dyDescent="0.35">
      <c r="A137" t="s">
        <v>162</v>
      </c>
      <c r="C137" t="s">
        <v>83</v>
      </c>
      <c r="D137">
        <v>38000</v>
      </c>
      <c r="E137">
        <v>6000000000</v>
      </c>
      <c r="F137" s="1">
        <v>158000</v>
      </c>
      <c r="G137">
        <v>16.757999999999999</v>
      </c>
      <c r="H137">
        <v>441</v>
      </c>
    </row>
    <row r="138" spans="1:8" x14ac:dyDescent="0.35">
      <c r="A138" t="s">
        <v>163</v>
      </c>
      <c r="C138" t="s">
        <v>83</v>
      </c>
      <c r="D138">
        <v>1310000</v>
      </c>
      <c r="E138">
        <v>433000000000</v>
      </c>
      <c r="F138" s="1">
        <v>332000</v>
      </c>
      <c r="G138">
        <v>550.20000000000005</v>
      </c>
      <c r="H138">
        <v>420</v>
      </c>
    </row>
    <row r="139" spans="1:8" x14ac:dyDescent="0.35">
      <c r="A139" t="s">
        <v>183</v>
      </c>
      <c r="B139" t="s">
        <v>164</v>
      </c>
      <c r="C139" t="s">
        <v>182</v>
      </c>
      <c r="D139">
        <v>400000</v>
      </c>
      <c r="E139">
        <v>970000000000</v>
      </c>
      <c r="F139" s="1">
        <v>2425000</v>
      </c>
    </row>
    <row r="140" spans="1:8" x14ac:dyDescent="0.35">
      <c r="A140" t="s">
        <v>166</v>
      </c>
      <c r="B140" t="s">
        <v>167</v>
      </c>
      <c r="C140" t="s">
        <v>165</v>
      </c>
      <c r="D140">
        <v>7254000</v>
      </c>
      <c r="E140">
        <v>4080000000000</v>
      </c>
      <c r="F140" s="1">
        <v>562448.30438378826</v>
      </c>
    </row>
    <row r="141" spans="1:8" x14ac:dyDescent="0.35">
      <c r="A141" t="s">
        <v>446</v>
      </c>
      <c r="B141" t="s">
        <v>445</v>
      </c>
      <c r="C141" t="s">
        <v>185</v>
      </c>
      <c r="D141">
        <v>44</v>
      </c>
      <c r="E141">
        <v>5236000</v>
      </c>
      <c r="F141" s="1">
        <v>119000</v>
      </c>
      <c r="G141">
        <v>1.0414799999999998E-2</v>
      </c>
      <c r="H141">
        <v>236.7</v>
      </c>
    </row>
    <row r="142" spans="1:8" x14ac:dyDescent="0.35">
      <c r="A142" t="s">
        <v>447</v>
      </c>
      <c r="B142" t="s">
        <v>445</v>
      </c>
      <c r="C142" t="s">
        <v>185</v>
      </c>
      <c r="D142">
        <v>36.4</v>
      </c>
      <c r="E142">
        <v>3931200</v>
      </c>
      <c r="F142" s="1">
        <v>108000</v>
      </c>
      <c r="G142">
        <v>8.6158799999999994E-3</v>
      </c>
      <c r="H142">
        <v>236.7</v>
      </c>
    </row>
    <row r="143" spans="1:8" x14ac:dyDescent="0.35">
      <c r="A143" t="s">
        <v>448</v>
      </c>
      <c r="B143" t="s">
        <v>445</v>
      </c>
      <c r="C143" t="s">
        <v>185</v>
      </c>
      <c r="D143">
        <v>65.099999999999994</v>
      </c>
      <c r="E143">
        <v>3782309.9999999995</v>
      </c>
      <c r="F143" s="1">
        <v>58100</v>
      </c>
      <c r="G143">
        <v>1.3970980799999998E-2</v>
      </c>
      <c r="H143">
        <v>214.60799999999998</v>
      </c>
    </row>
    <row r="144" spans="1:8" x14ac:dyDescent="0.35">
      <c r="A144" t="s">
        <v>449</v>
      </c>
      <c r="B144" t="s">
        <v>445</v>
      </c>
      <c r="C144" t="s">
        <v>185</v>
      </c>
      <c r="D144">
        <v>44</v>
      </c>
      <c r="E144">
        <v>11836000</v>
      </c>
      <c r="F144" s="1">
        <v>269000</v>
      </c>
      <c r="G144">
        <v>3.4715999999999997E-2</v>
      </c>
      <c r="H144">
        <v>789</v>
      </c>
    </row>
    <row r="145" spans="1:8" x14ac:dyDescent="0.35">
      <c r="A145" t="s">
        <v>450</v>
      </c>
      <c r="B145" t="s">
        <v>445</v>
      </c>
      <c r="C145" t="s">
        <v>185</v>
      </c>
      <c r="D145">
        <v>36.4</v>
      </c>
      <c r="E145">
        <v>4186000</v>
      </c>
      <c r="F145" s="1">
        <v>115000</v>
      </c>
      <c r="G145">
        <v>3.4463519999999997E-2</v>
      </c>
      <c r="H145">
        <v>946.8</v>
      </c>
    </row>
    <row r="146" spans="1:8" x14ac:dyDescent="0.35">
      <c r="A146" t="s">
        <v>451</v>
      </c>
      <c r="B146" t="s">
        <v>445</v>
      </c>
      <c r="C146" t="s">
        <v>185</v>
      </c>
      <c r="D146">
        <v>65.099999999999994</v>
      </c>
      <c r="E146">
        <v>5227530</v>
      </c>
      <c r="F146" s="1">
        <v>80300</v>
      </c>
      <c r="G146">
        <v>4.4378409599999995E-2</v>
      </c>
      <c r="H146">
        <v>681.69600000000003</v>
      </c>
    </row>
    <row r="147" spans="1:8" x14ac:dyDescent="0.35">
      <c r="A147" t="s">
        <v>452</v>
      </c>
      <c r="C147" t="s">
        <v>165</v>
      </c>
      <c r="F147" s="1">
        <v>245608.15000000002</v>
      </c>
    </row>
    <row r="148" spans="1:8" x14ac:dyDescent="0.35">
      <c r="A148" t="s">
        <v>454</v>
      </c>
      <c r="C148" t="s">
        <v>165</v>
      </c>
      <c r="F148" s="1">
        <v>165681.43</v>
      </c>
    </row>
    <row r="149" spans="1:8" x14ac:dyDescent="0.35">
      <c r="A149" t="s">
        <v>456</v>
      </c>
      <c r="C149" t="s">
        <v>165</v>
      </c>
      <c r="F149" s="1">
        <v>222296.19</v>
      </c>
    </row>
    <row r="150" spans="1:8" x14ac:dyDescent="0.35">
      <c r="A150" t="s">
        <v>501</v>
      </c>
      <c r="B150" t="s">
        <v>640</v>
      </c>
      <c r="E150">
        <v>1112000</v>
      </c>
      <c r="H150">
        <v>4000</v>
      </c>
    </row>
    <row r="151" spans="1:8" x14ac:dyDescent="0.35">
      <c r="A151" t="s">
        <v>505</v>
      </c>
      <c r="B151" t="s">
        <v>640</v>
      </c>
      <c r="D151">
        <v>25.2</v>
      </c>
      <c r="H151">
        <v>3100</v>
      </c>
    </row>
    <row r="152" spans="1:8" x14ac:dyDescent="0.35">
      <c r="A152" t="s">
        <v>508</v>
      </c>
      <c r="B152" t="s">
        <v>640</v>
      </c>
      <c r="E152">
        <v>1170000</v>
      </c>
      <c r="H152">
        <v>1700</v>
      </c>
    </row>
    <row r="153" spans="1:8" x14ac:dyDescent="0.35">
      <c r="A153" t="s">
        <v>511</v>
      </c>
      <c r="B153" t="s">
        <v>640</v>
      </c>
      <c r="D153">
        <v>9.6</v>
      </c>
      <c r="E153">
        <v>1386000</v>
      </c>
      <c r="F153">
        <v>144375</v>
      </c>
      <c r="H153">
        <v>6000</v>
      </c>
    </row>
    <row r="154" spans="1:8" x14ac:dyDescent="0.35">
      <c r="A154" t="s">
        <v>514</v>
      </c>
      <c r="B154" t="s">
        <v>640</v>
      </c>
      <c r="D154">
        <v>6.88</v>
      </c>
      <c r="E154">
        <v>732000</v>
      </c>
      <c r="F154">
        <v>106395.3488372093</v>
      </c>
      <c r="H154">
        <v>1910</v>
      </c>
    </row>
    <row r="155" spans="1:8" x14ac:dyDescent="0.35">
      <c r="A155" t="s">
        <v>517</v>
      </c>
      <c r="B155" t="s">
        <v>640</v>
      </c>
      <c r="D155">
        <v>19.32</v>
      </c>
      <c r="E155">
        <v>1768000</v>
      </c>
      <c r="F155">
        <v>91511.38716356107</v>
      </c>
      <c r="H155">
        <v>4800</v>
      </c>
    </row>
    <row r="156" spans="1:8" x14ac:dyDescent="0.35">
      <c r="A156" t="s">
        <v>520</v>
      </c>
      <c r="B156" t="s">
        <v>640</v>
      </c>
      <c r="D156">
        <v>11.94</v>
      </c>
      <c r="E156">
        <v>1156000</v>
      </c>
      <c r="F156">
        <v>96817.420435510896</v>
      </c>
      <c r="H156">
        <v>1575</v>
      </c>
    </row>
    <row r="157" spans="1:8" x14ac:dyDescent="0.35">
      <c r="A157" t="s">
        <v>523</v>
      </c>
      <c r="B157" t="s">
        <v>640</v>
      </c>
      <c r="D157">
        <v>8.2799999999999994</v>
      </c>
      <c r="E157">
        <v>1410000</v>
      </c>
      <c r="F157">
        <v>170289.85507246378</v>
      </c>
      <c r="H157">
        <v>1860</v>
      </c>
    </row>
    <row r="158" spans="1:8" x14ac:dyDescent="0.35">
      <c r="A158" t="s">
        <v>526</v>
      </c>
      <c r="B158" t="s">
        <v>640</v>
      </c>
      <c r="E158">
        <v>14000</v>
      </c>
      <c r="H158">
        <v>2000</v>
      </c>
    </row>
    <row r="159" spans="1:8" x14ac:dyDescent="0.35">
      <c r="A159" t="s">
        <v>529</v>
      </c>
      <c r="B159" t="s">
        <v>640</v>
      </c>
      <c r="E159">
        <v>1677000</v>
      </c>
      <c r="H159">
        <v>1600</v>
      </c>
    </row>
    <row r="160" spans="1:8" x14ac:dyDescent="0.35">
      <c r="A160" t="s">
        <v>532</v>
      </c>
      <c r="B160" t="s">
        <v>640</v>
      </c>
      <c r="E160">
        <v>603000</v>
      </c>
      <c r="H160">
        <v>1500</v>
      </c>
    </row>
    <row r="161" spans="1:8" x14ac:dyDescent="0.35">
      <c r="A161" t="s">
        <v>535</v>
      </c>
      <c r="B161" t="s">
        <v>640</v>
      </c>
      <c r="E161">
        <v>333000</v>
      </c>
      <c r="H161">
        <v>1100</v>
      </c>
    </row>
    <row r="162" spans="1:8" x14ac:dyDescent="0.35">
      <c r="A162" t="s">
        <v>538</v>
      </c>
      <c r="B162" t="s">
        <v>640</v>
      </c>
      <c r="D162">
        <v>2.4</v>
      </c>
      <c r="E162">
        <v>329000</v>
      </c>
      <c r="F162">
        <v>137083.33333333334</v>
      </c>
      <c r="H162">
        <v>1000</v>
      </c>
    </row>
    <row r="163" spans="1:8" x14ac:dyDescent="0.35">
      <c r="A163" t="s">
        <v>541</v>
      </c>
      <c r="B163" t="s">
        <v>640</v>
      </c>
      <c r="E163">
        <v>719000</v>
      </c>
      <c r="H163">
        <v>1200</v>
      </c>
    </row>
    <row r="164" spans="1:8" x14ac:dyDescent="0.35">
      <c r="A164" t="s">
        <v>544</v>
      </c>
      <c r="B164" t="s">
        <v>640</v>
      </c>
      <c r="D164">
        <v>4.7300000000000004</v>
      </c>
      <c r="E164">
        <v>544000</v>
      </c>
      <c r="F164">
        <v>115010.5708245243</v>
      </c>
      <c r="H164">
        <v>1040</v>
      </c>
    </row>
    <row r="165" spans="1:8" x14ac:dyDescent="0.35">
      <c r="A165" t="s">
        <v>547</v>
      </c>
      <c r="B165" t="s">
        <v>640</v>
      </c>
      <c r="E165">
        <v>393000</v>
      </c>
      <c r="H165">
        <v>900</v>
      </c>
    </row>
    <row r="166" spans="1:8" x14ac:dyDescent="0.35">
      <c r="A166" t="s">
        <v>550</v>
      </c>
      <c r="B166" t="s">
        <v>640</v>
      </c>
      <c r="D166">
        <v>5.17</v>
      </c>
      <c r="E166">
        <v>362000</v>
      </c>
      <c r="F166">
        <v>70019.342359767892</v>
      </c>
      <c r="H166">
        <v>850</v>
      </c>
    </row>
    <row r="167" spans="1:8" x14ac:dyDescent="0.35">
      <c r="A167" t="s">
        <v>553</v>
      </c>
      <c r="B167" t="s">
        <v>640</v>
      </c>
      <c r="D167">
        <v>19.329999999999998</v>
      </c>
      <c r="E167">
        <v>1977000</v>
      </c>
      <c r="F167">
        <v>102276.25452664253</v>
      </c>
      <c r="H167">
        <v>4933</v>
      </c>
    </row>
    <row r="168" spans="1:8" x14ac:dyDescent="0.35">
      <c r="A168" t="s">
        <v>556</v>
      </c>
      <c r="B168" t="s">
        <v>640</v>
      </c>
      <c r="D168">
        <v>16.559999999999999</v>
      </c>
      <c r="E168">
        <v>2129000</v>
      </c>
      <c r="F168">
        <v>128562.80193236716</v>
      </c>
      <c r="H168">
        <v>5200</v>
      </c>
    </row>
    <row r="169" spans="1:8" x14ac:dyDescent="0.35">
      <c r="A169" t="s">
        <v>559</v>
      </c>
      <c r="B169" t="s">
        <v>640</v>
      </c>
      <c r="E169">
        <v>2215000</v>
      </c>
      <c r="H169">
        <v>4900</v>
      </c>
    </row>
    <row r="170" spans="1:8" x14ac:dyDescent="0.35">
      <c r="A170" t="s">
        <v>560</v>
      </c>
      <c r="B170" t="s">
        <v>640</v>
      </c>
      <c r="D170">
        <v>9.33</v>
      </c>
      <c r="E170">
        <v>1272000</v>
      </c>
      <c r="F170">
        <v>136334.40514469452</v>
      </c>
      <c r="H170">
        <v>4000</v>
      </c>
    </row>
    <row r="171" spans="1:8" x14ac:dyDescent="0.35">
      <c r="A171" t="s">
        <v>641</v>
      </c>
      <c r="B171" t="s">
        <v>640</v>
      </c>
      <c r="D171">
        <v>7.55</v>
      </c>
      <c r="E171">
        <v>1251000</v>
      </c>
      <c r="F171">
        <v>165695.36423841061</v>
      </c>
      <c r="H171">
        <v>4500</v>
      </c>
    </row>
    <row r="172" spans="1:8" x14ac:dyDescent="0.35">
      <c r="A172" t="s">
        <v>643</v>
      </c>
      <c r="B172" t="s">
        <v>640</v>
      </c>
      <c r="E172">
        <v>1298000</v>
      </c>
      <c r="H172">
        <v>2825</v>
      </c>
    </row>
    <row r="173" spans="1:8" x14ac:dyDescent="0.35">
      <c r="A173" t="s">
        <v>645</v>
      </c>
      <c r="B173" t="s">
        <v>640</v>
      </c>
      <c r="D173">
        <v>8.3699999999999992</v>
      </c>
      <c r="E173">
        <v>1408000</v>
      </c>
      <c r="F173">
        <v>168219.8327359618</v>
      </c>
      <c r="H173">
        <v>3750</v>
      </c>
    </row>
    <row r="174" spans="1:8" x14ac:dyDescent="0.35">
      <c r="A174" t="s">
        <v>647</v>
      </c>
      <c r="B174" t="s">
        <v>640</v>
      </c>
      <c r="D174">
        <v>11</v>
      </c>
      <c r="E174">
        <v>1078000</v>
      </c>
      <c r="F174">
        <v>98000</v>
      </c>
      <c r="H174">
        <v>3000</v>
      </c>
    </row>
    <row r="175" spans="1:8" x14ac:dyDescent="0.35">
      <c r="A175" t="s">
        <v>649</v>
      </c>
      <c r="B175" t="s">
        <v>640</v>
      </c>
      <c r="E175">
        <v>978000</v>
      </c>
      <c r="H175">
        <v>2950</v>
      </c>
    </row>
    <row r="176" spans="1:8" x14ac:dyDescent="0.35">
      <c r="A176" t="s">
        <v>651</v>
      </c>
      <c r="B176" t="s">
        <v>640</v>
      </c>
      <c r="E176">
        <v>613000</v>
      </c>
      <c r="H176">
        <v>1600</v>
      </c>
    </row>
    <row r="177" spans="1:8" x14ac:dyDescent="0.35">
      <c r="A177" t="s">
        <v>653</v>
      </c>
      <c r="B177" t="s">
        <v>640</v>
      </c>
      <c r="D177">
        <v>6.26</v>
      </c>
      <c r="E177">
        <v>590000</v>
      </c>
      <c r="F177">
        <v>94249.201277955275</v>
      </c>
      <c r="H177">
        <v>1850</v>
      </c>
    </row>
    <row r="178" spans="1:8" x14ac:dyDescent="0.35">
      <c r="A178" t="s">
        <v>573</v>
      </c>
      <c r="B178" t="s">
        <v>572</v>
      </c>
      <c r="E178">
        <v>1770000</v>
      </c>
      <c r="H178">
        <v>1500</v>
      </c>
    </row>
    <row r="179" spans="1:8" x14ac:dyDescent="0.35">
      <c r="A179" t="s">
        <v>576</v>
      </c>
      <c r="B179" t="s">
        <v>572</v>
      </c>
      <c r="E179">
        <v>1262000</v>
      </c>
      <c r="H179">
        <v>1500</v>
      </c>
    </row>
    <row r="180" spans="1:8" x14ac:dyDescent="0.35">
      <c r="A180" t="s">
        <v>579</v>
      </c>
      <c r="B180" t="s">
        <v>572</v>
      </c>
      <c r="E180">
        <v>1410000</v>
      </c>
      <c r="H180">
        <v>2000</v>
      </c>
    </row>
    <row r="181" spans="1:8" x14ac:dyDescent="0.35">
      <c r="A181" t="s">
        <v>582</v>
      </c>
      <c r="B181" t="s">
        <v>572</v>
      </c>
      <c r="E181">
        <v>3642000</v>
      </c>
      <c r="H181">
        <v>4300</v>
      </c>
    </row>
    <row r="182" spans="1:8" x14ac:dyDescent="0.35">
      <c r="A182" t="s">
        <v>585</v>
      </c>
      <c r="B182" t="s">
        <v>572</v>
      </c>
    </row>
    <row r="183" spans="1:8" x14ac:dyDescent="0.35">
      <c r="A183" t="s">
        <v>588</v>
      </c>
      <c r="B183" t="s">
        <v>572</v>
      </c>
      <c r="E183">
        <v>1398000</v>
      </c>
      <c r="H183">
        <v>2000</v>
      </c>
    </row>
    <row r="184" spans="1:8" x14ac:dyDescent="0.35">
      <c r="A184" t="s">
        <v>589</v>
      </c>
      <c r="B184" t="s">
        <v>572</v>
      </c>
      <c r="E184">
        <v>1243000</v>
      </c>
      <c r="H184">
        <v>1500</v>
      </c>
    </row>
    <row r="185" spans="1:8" x14ac:dyDescent="0.35">
      <c r="A185" t="s">
        <v>592</v>
      </c>
      <c r="B185" t="s">
        <v>572</v>
      </c>
      <c r="E185">
        <v>1553000</v>
      </c>
      <c r="H185">
        <v>1500</v>
      </c>
    </row>
    <row r="186" spans="1:8" x14ac:dyDescent="0.35">
      <c r="A186" t="s">
        <v>595</v>
      </c>
      <c r="B186" t="s">
        <v>572</v>
      </c>
      <c r="E186">
        <v>1252000</v>
      </c>
      <c r="H186">
        <v>1500</v>
      </c>
    </row>
    <row r="187" spans="1:8" x14ac:dyDescent="0.35">
      <c r="A187" t="s">
        <v>598</v>
      </c>
      <c r="B187" t="s">
        <v>572</v>
      </c>
      <c r="E187">
        <v>1957000</v>
      </c>
      <c r="H187">
        <v>4300</v>
      </c>
    </row>
    <row r="188" spans="1:8" x14ac:dyDescent="0.35">
      <c r="A188" t="s">
        <v>601</v>
      </c>
      <c r="B188" t="s">
        <v>572</v>
      </c>
      <c r="E188">
        <v>6218000</v>
      </c>
      <c r="H188">
        <v>1500</v>
      </c>
    </row>
    <row r="189" spans="1:8" x14ac:dyDescent="0.35">
      <c r="A189" t="s">
        <v>604</v>
      </c>
      <c r="B189" t="s">
        <v>572</v>
      </c>
      <c r="E189">
        <v>2350000</v>
      </c>
      <c r="H189">
        <v>2500</v>
      </c>
    </row>
    <row r="190" spans="1:8" x14ac:dyDescent="0.35">
      <c r="A190" t="s">
        <v>607</v>
      </c>
      <c r="B190" t="s">
        <v>572</v>
      </c>
      <c r="E190">
        <v>1978000</v>
      </c>
      <c r="H190">
        <v>2500</v>
      </c>
    </row>
    <row r="191" spans="1:8" x14ac:dyDescent="0.35">
      <c r="A191" t="s">
        <v>610</v>
      </c>
      <c r="B191" t="s">
        <v>572</v>
      </c>
      <c r="E191">
        <v>978000</v>
      </c>
      <c r="H191">
        <v>2800</v>
      </c>
    </row>
    <row r="192" spans="1:8" x14ac:dyDescent="0.35">
      <c r="A192" t="s">
        <v>613</v>
      </c>
      <c r="B192" t="s">
        <v>572</v>
      </c>
      <c r="E192">
        <v>954000</v>
      </c>
      <c r="H192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global_comparison</vt:lpstr>
      <vt:lpstr>Sheet2</vt:lpstr>
      <vt:lpstr>TO_CSV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Custado</cp:lastModifiedBy>
  <dcterms:created xsi:type="dcterms:W3CDTF">2026-06-25T19:22:09Z</dcterms:created>
  <dcterms:modified xsi:type="dcterms:W3CDTF">2026-06-29T16:37:03Z</dcterms:modified>
</cp:coreProperties>
</file>